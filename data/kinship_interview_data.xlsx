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16194/OneDrive - University of Bristol/projects/Datooga kinship interviews/code/data/"/>
    </mc:Choice>
  </mc:AlternateContent>
  <xr:revisionPtr revIDLastSave="0" documentId="13_ncr:1_{957D6082-4203-8B4B-AF13-4B430D246AC8}" xr6:coauthVersionLast="45" xr6:coauthVersionMax="45" xr10:uidLastSave="{00000000-0000-0000-0000-000000000000}"/>
  <bookViews>
    <workbookView xWindow="0" yWindow="460" windowWidth="28800" windowHeight="15840" xr2:uid="{A52F28A1-AD34-1A43-9E23-72FDC3A2E8D0}"/>
  </bookViews>
  <sheets>
    <sheet name="Questions" sheetId="1" r:id="rId1"/>
    <sheet name="Results" sheetId="3" r:id="rId2"/>
    <sheet name="Metadata" sheetId="2" r:id="rId3"/>
    <sheet name="Genealogical data" sheetId="5" r:id="rId4"/>
    <sheet name="Q5" sheetId="6" r:id="rId5"/>
    <sheet name="Q6" sheetId="7" r:id="rId6"/>
    <sheet name="Notes" sheetId="4" r:id="rId7"/>
  </sheets>
  <definedNames>
    <definedName name="_xlnm._FilterDatabase" localSheetId="3" hidden="1">'Genealogical data'!$B$2:$B$94</definedName>
    <definedName name="_xlnm._FilterDatabase" localSheetId="2" hidden="1">Metadata!$D$1:$D$70</definedName>
    <definedName name="_xlnm._FilterDatabase" localSheetId="4" hidden="1">'Q5'!$C$1:$C$71</definedName>
    <definedName name="_xlnm._FilterDatabase" localSheetId="1" hidden="1">Results!$A$1:$A$73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4" i="7" l="1"/>
  <c r="B75" i="7" l="1"/>
  <c r="E71" i="7"/>
  <c r="E70" i="7"/>
  <c r="E69" i="7"/>
  <c r="E82" i="7" s="1"/>
  <c r="C71" i="7"/>
  <c r="C70" i="7"/>
  <c r="C69" i="7"/>
  <c r="C72" i="7" s="1"/>
  <c r="G67" i="6" l="1"/>
  <c r="F67" i="6"/>
  <c r="E76" i="6"/>
  <c r="C75" i="6"/>
  <c r="C73" i="6"/>
  <c r="C77" i="6" s="1"/>
  <c r="D74" i="6" s="1"/>
  <c r="D75" i="6" l="1"/>
  <c r="D73" i="6"/>
  <c r="D77" i="6" s="1"/>
  <c r="I75" i="2"/>
  <c r="I73" i="2"/>
  <c r="I74" i="2"/>
  <c r="K70" i="2"/>
  <c r="K69" i="2"/>
  <c r="E76" i="2"/>
  <c r="E77" i="2" s="1"/>
  <c r="E75" i="2"/>
  <c r="E74" i="2"/>
  <c r="E73" i="2"/>
  <c r="K68" i="2"/>
  <c r="I76" i="2" l="1"/>
  <c r="K71" i="2"/>
  <c r="L70" i="2" s="1"/>
  <c r="F80" i="3"/>
  <c r="F82" i="3"/>
  <c r="L68" i="2" l="1"/>
  <c r="L69" i="2"/>
  <c r="G75" i="3"/>
  <c r="S69" i="3"/>
  <c r="T69" i="3"/>
  <c r="U69" i="3"/>
  <c r="S68" i="3"/>
  <c r="T68" i="3"/>
  <c r="U68" i="3"/>
  <c r="S67" i="3"/>
  <c r="S71" i="3" s="1"/>
  <c r="T67" i="3"/>
  <c r="T71" i="3" s="1"/>
  <c r="U67" i="3"/>
  <c r="U71" i="3" s="1"/>
  <c r="U70" i="3" l="1"/>
  <c r="U73" i="3" s="1"/>
  <c r="T70" i="3"/>
  <c r="T73" i="3" s="1"/>
  <c r="S70" i="3"/>
  <c r="S73" i="3" s="1"/>
  <c r="C76" i="5"/>
  <c r="F105" i="5"/>
  <c r="C105" i="5"/>
  <c r="C104" i="5"/>
  <c r="C103" i="5"/>
  <c r="C102" i="5"/>
  <c r="C98" i="5"/>
  <c r="C97" i="5"/>
  <c r="C96" i="5"/>
  <c r="C95" i="5"/>
  <c r="C89" i="5"/>
  <c r="C88" i="5"/>
  <c r="C87" i="5"/>
  <c r="C86" i="5"/>
  <c r="B80" i="5"/>
  <c r="B81" i="5"/>
  <c r="B79" i="5"/>
  <c r="B78" i="5"/>
  <c r="C106" i="5" l="1"/>
  <c r="C99" i="5"/>
  <c r="C90" i="5"/>
  <c r="B77" i="5"/>
  <c r="B76" i="5"/>
  <c r="D95" i="5" l="1"/>
  <c r="D96" i="5"/>
  <c r="D97" i="5"/>
  <c r="D98" i="5"/>
  <c r="B82" i="5"/>
  <c r="AA69" i="3"/>
  <c r="AB69" i="3"/>
  <c r="W71" i="3"/>
  <c r="H69" i="3"/>
  <c r="I69" i="3"/>
  <c r="J69" i="3"/>
  <c r="K69" i="3"/>
  <c r="L69" i="3"/>
  <c r="M69" i="3"/>
  <c r="N69" i="3"/>
  <c r="O69" i="3"/>
  <c r="P69" i="3"/>
  <c r="Q69" i="3"/>
  <c r="R69" i="3"/>
  <c r="V69" i="3"/>
  <c r="X69" i="3"/>
  <c r="Y69" i="3"/>
  <c r="Z69" i="3"/>
  <c r="AC69" i="3"/>
  <c r="AD69" i="3"/>
  <c r="G69" i="3"/>
  <c r="H68" i="3"/>
  <c r="I68" i="3"/>
  <c r="J68" i="3"/>
  <c r="K68" i="3"/>
  <c r="L68" i="3"/>
  <c r="M68" i="3"/>
  <c r="N68" i="3"/>
  <c r="O68" i="3"/>
  <c r="P68" i="3"/>
  <c r="Q68" i="3"/>
  <c r="R68" i="3"/>
  <c r="V68" i="3"/>
  <c r="X68" i="3"/>
  <c r="Y68" i="3"/>
  <c r="Z68" i="3"/>
  <c r="AA68" i="3"/>
  <c r="AB68" i="3"/>
  <c r="AC68" i="3"/>
  <c r="AD68" i="3"/>
  <c r="G68" i="3"/>
  <c r="C69" i="3"/>
  <c r="D69" i="3"/>
  <c r="E69" i="3"/>
  <c r="C68" i="3"/>
  <c r="D68" i="3"/>
  <c r="E68" i="3"/>
  <c r="B69" i="3"/>
  <c r="B68" i="3"/>
  <c r="Y67" i="3"/>
  <c r="Y73" i="3" s="1"/>
  <c r="Z67" i="3"/>
  <c r="Z73" i="3" s="1"/>
  <c r="AA67" i="3"/>
  <c r="AA73" i="3" s="1"/>
  <c r="AB67" i="3"/>
  <c r="AB73" i="3" s="1"/>
  <c r="AC67" i="3"/>
  <c r="AC73" i="3" s="1"/>
  <c r="AD67" i="3"/>
  <c r="X67" i="3"/>
  <c r="X73" i="3" s="1"/>
  <c r="H67" i="3"/>
  <c r="I67" i="3"/>
  <c r="J67" i="3"/>
  <c r="K67" i="3"/>
  <c r="L67" i="3"/>
  <c r="M67" i="3"/>
  <c r="N67" i="3"/>
  <c r="O67" i="3"/>
  <c r="P67" i="3"/>
  <c r="Q67" i="3"/>
  <c r="R67" i="3"/>
  <c r="V67" i="3"/>
  <c r="V73" i="3" s="1"/>
  <c r="G67" i="3"/>
  <c r="C67" i="3"/>
  <c r="C73" i="3" s="1"/>
  <c r="D67" i="3"/>
  <c r="D73" i="3" s="1"/>
  <c r="E67" i="3"/>
  <c r="E73" i="3" s="1"/>
  <c r="B67" i="3"/>
  <c r="R70" i="3" l="1"/>
  <c r="R73" i="3" s="1"/>
  <c r="P70" i="3"/>
  <c r="P73" i="3" s="1"/>
  <c r="H70" i="3"/>
  <c r="H73" i="3"/>
  <c r="O70" i="3"/>
  <c r="O73" i="3"/>
  <c r="N70" i="3"/>
  <c r="N73" i="3" s="1"/>
  <c r="J70" i="3"/>
  <c r="J73" i="3" s="1"/>
  <c r="I70" i="3"/>
  <c r="I73" i="3" s="1"/>
  <c r="M70" i="3"/>
  <c r="M73" i="3" s="1"/>
  <c r="Q71" i="3"/>
  <c r="Q70" i="3"/>
  <c r="Q73" i="3" s="1"/>
  <c r="G70" i="3"/>
  <c r="G73" i="3" s="1"/>
  <c r="L70" i="3"/>
  <c r="L73" i="3"/>
  <c r="K70" i="3"/>
  <c r="K73" i="3" s="1"/>
  <c r="AD71" i="3"/>
  <c r="B71" i="3"/>
  <c r="M71" i="3"/>
  <c r="I71" i="3"/>
  <c r="B73" i="3"/>
  <c r="AD73" i="3"/>
  <c r="R71" i="3"/>
  <c r="D71" i="3"/>
  <c r="C71" i="3"/>
  <c r="AC71" i="3"/>
  <c r="Y71" i="3"/>
  <c r="Z71" i="3"/>
  <c r="J71" i="3"/>
  <c r="X71" i="3"/>
  <c r="P71" i="3"/>
  <c r="L71" i="3"/>
  <c r="H71" i="3"/>
  <c r="N71" i="3"/>
  <c r="E71" i="3"/>
  <c r="G71" i="3"/>
  <c r="V71" i="3"/>
  <c r="O71" i="3"/>
  <c r="K71" i="3"/>
  <c r="AB71" i="3"/>
  <c r="AA71" i="3"/>
  <c r="F68" i="2"/>
  <c r="F70" i="2" l="1"/>
</calcChain>
</file>

<file path=xl/sharedStrings.xml><?xml version="1.0" encoding="utf-8"?>
<sst xmlns="http://schemas.openxmlformats.org/spreadsheetml/2006/main" count="2276" uniqueCount="611">
  <si>
    <t>#</t>
  </si>
  <si>
    <t>Question</t>
  </si>
  <si>
    <t>Response Type</t>
  </si>
  <si>
    <t>Coding</t>
  </si>
  <si>
    <t>Answer</t>
  </si>
  <si>
    <t>Notes</t>
  </si>
  <si>
    <t>Whose house is this?</t>
  </si>
  <si>
    <t>Name</t>
  </si>
  <si>
    <t>Correct (1) / Incorrect (0)</t>
  </si>
  <si>
    <t>Specific to child</t>
  </si>
  <si>
    <t>Could distinguish type of name they use</t>
  </si>
  <si>
    <t>Who is the father of [person named in Q1]</t>
  </si>
  <si>
    <t>Who is the father of [person named in Q2]</t>
  </si>
  <si>
    <t>Which clan does [person named in Q3] belong to</t>
  </si>
  <si>
    <t>Who lives here?</t>
  </si>
  <si>
    <t>List of names</t>
  </si>
  <si>
    <t>Could code which kin they refer to</t>
  </si>
  <si>
    <t>5a</t>
  </si>
  <si>
    <t>Kin term / noun</t>
  </si>
  <si>
    <t>mother</t>
  </si>
  <si>
    <t>5b</t>
  </si>
  <si>
    <t xml:space="preserve">What is F to you? </t>
  </si>
  <si>
    <t>father</t>
  </si>
  <si>
    <t>5c</t>
  </si>
  <si>
    <t>What is B to you?</t>
  </si>
  <si>
    <t>brother</t>
  </si>
  <si>
    <t>5d</t>
  </si>
  <si>
    <t xml:space="preserve">What is Z to you? </t>
  </si>
  <si>
    <t>sister</t>
  </si>
  <si>
    <t>5e</t>
  </si>
  <si>
    <t xml:space="preserve">What is FF to you? </t>
  </si>
  <si>
    <t>grandfather</t>
  </si>
  <si>
    <t>5f</t>
  </si>
  <si>
    <t>What is FM to you?</t>
  </si>
  <si>
    <t>qambaaba</t>
  </si>
  <si>
    <t>5g</t>
  </si>
  <si>
    <t>What is FZ to you?</t>
  </si>
  <si>
    <t>5h</t>
  </si>
  <si>
    <t>What is MM to you?</t>
  </si>
  <si>
    <t>qambiiya</t>
  </si>
  <si>
    <t>5i</t>
  </si>
  <si>
    <t>What is MB to you?</t>
  </si>
  <si>
    <t>maamay / mjomba</t>
  </si>
  <si>
    <t>5j</t>
  </si>
  <si>
    <t>Who is FB to you?</t>
  </si>
  <si>
    <t>qweanda</t>
  </si>
  <si>
    <t>5k</t>
  </si>
  <si>
    <t>Who is FBS/D to you? (patrilateral cross-cousin)</t>
  </si>
  <si>
    <t>5l</t>
  </si>
  <si>
    <t>BW</t>
  </si>
  <si>
    <t>5m</t>
  </si>
  <si>
    <t>FW</t>
  </si>
  <si>
    <t>5n</t>
  </si>
  <si>
    <t>BS/D</t>
  </si>
  <si>
    <t xml:space="preserve">Who is M to F? </t>
  </si>
  <si>
    <t>Wife</t>
  </si>
  <si>
    <t>How many siblings do you have? Say their names</t>
  </si>
  <si>
    <t>Number + list</t>
  </si>
  <si>
    <t>Includes ego to be correct</t>
  </si>
  <si>
    <t>Who is F to B/Z?</t>
  </si>
  <si>
    <t>Father</t>
  </si>
  <si>
    <t xml:space="preserve">Who are you to mother? </t>
  </si>
  <si>
    <t xml:space="preserve">Her child </t>
  </si>
  <si>
    <t>Only correct if they say it with possessive; otherwise ambiguous as to whether it's category label</t>
  </si>
  <si>
    <t xml:space="preserve">Who is the father of your father </t>
  </si>
  <si>
    <t>Should be the same as Q2</t>
  </si>
  <si>
    <t>How many siblings does B/Z have?</t>
  </si>
  <si>
    <t>Number</t>
  </si>
  <si>
    <t xml:space="preserve">Should include self; taking perspective of other  </t>
  </si>
  <si>
    <t xml:space="preserve">Are you an aunt or uncle? </t>
  </si>
  <si>
    <t>Yes / no</t>
  </si>
  <si>
    <t>Tests ability to take allocentric perspective</t>
  </si>
  <si>
    <t>Right hand self</t>
  </si>
  <si>
    <t>Point</t>
  </si>
  <si>
    <t>Right hand other</t>
  </si>
  <si>
    <t>Child ID</t>
  </si>
  <si>
    <t>Q1</t>
  </si>
  <si>
    <t>Q2</t>
  </si>
  <si>
    <t>Q3</t>
  </si>
  <si>
    <t>Q4</t>
  </si>
  <si>
    <t>Q5</t>
  </si>
  <si>
    <t>Q5a</t>
  </si>
  <si>
    <t>Q5b</t>
  </si>
  <si>
    <t>Q5c</t>
  </si>
  <si>
    <t>Q5d</t>
  </si>
  <si>
    <t>Q5e</t>
  </si>
  <si>
    <t>Q5f</t>
  </si>
  <si>
    <t>Q5g</t>
  </si>
  <si>
    <t>Q5h</t>
  </si>
  <si>
    <t>Q5i</t>
  </si>
  <si>
    <t>Q5j</t>
  </si>
  <si>
    <t>Q5k</t>
  </si>
  <si>
    <t>Q5l</t>
  </si>
  <si>
    <t>Q5m</t>
  </si>
  <si>
    <t>Q5n</t>
  </si>
  <si>
    <t>Q5o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</si>
  <si>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</si>
  <si>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</si>
  <si>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</si>
  <si>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</si>
  <si>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</si>
  <si>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</si>
  <si>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</si>
  <si>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</si>
  <si>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</si>
  <si>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 xml:space="preserve">geaba F, M, FM, Self, B, B, ?, Z </t>
  </si>
  <si>
    <t>n/a</t>
  </si>
  <si>
    <t>Used Swahili for 5a, 5c, 5d</t>
  </si>
  <si>
    <t>geaba F, M, FM</t>
  </si>
  <si>
    <t>For Q9 said own name; when questioned about who sister is, he answered that "she calls me brother"; i.e. took her perspective</t>
  </si>
  <si>
    <t>geaba M, Z, F, ?</t>
  </si>
  <si>
    <t>Q4 is semi correct; Q5f he takes father's perspective; also classifies Shageeru and Qameeyuw in the same way</t>
  </si>
  <si>
    <t xml:space="preserve">self, B, FZ, </t>
  </si>
  <si>
    <t>Q1 – says it's her mother's house; Q5 says people are "of me" but knows Qameeyuw is called qambaaba</t>
  </si>
  <si>
    <t>(MZH), MZS, MZD, MZ, MZS, geaba MZDS</t>
  </si>
  <si>
    <t>Q8 – says name; Q5 was quite complicated for this child because his M lives in her father's house with his MB</t>
  </si>
  <si>
    <t xml:space="preserve">MF, MM, MB, MB, M, </t>
  </si>
  <si>
    <t>Q9 – own name; Q5 uses Swahili</t>
  </si>
  <si>
    <t>self, M, MM, MB, MB, MZS</t>
  </si>
  <si>
    <t xml:space="preserve">Q4 – Datooga; Q5h+i Swahili; </t>
  </si>
  <si>
    <t>FM, FZ, ?, M</t>
  </si>
  <si>
    <t>Q5 – uses names</t>
  </si>
  <si>
    <t>MZ</t>
  </si>
  <si>
    <t>Q4 – says name of FFF; v quiet</t>
  </si>
  <si>
    <t>F, M</t>
  </si>
  <si>
    <t>Q5a, 5b – uses Swahili</t>
  </si>
  <si>
    <t>M, F</t>
  </si>
  <si>
    <t>uses Swahili for mama and baba</t>
  </si>
  <si>
    <t>M</t>
  </si>
  <si>
    <t>Q5a, 5b – uses domestic name</t>
  </si>
  <si>
    <t>self, Z, [prompted], little children, B, Z</t>
  </si>
  <si>
    <t>Udafuriischi, Laalan, Bomboy, Madoori</t>
  </si>
  <si>
    <t>?</t>
  </si>
  <si>
    <t>Q5a, 5b – uses domestic name; Q5c = Swahili, Q8 = uses domestic name</t>
  </si>
  <si>
    <t xml:space="preserve">F, M, [prompted], Z, Z, </t>
  </si>
  <si>
    <t>3: Gidahuseanda, Laalan, Madoori ea balleanda manang'</t>
  </si>
  <si>
    <t>geaba M, F, "aseesa" [prompt] geaba Udafuriischi, Gidahuseanda, Madoori, Dondohi</t>
  </si>
  <si>
    <t>Udafuriischi, Gidahuseanda, Madoori, Doondooya</t>
  </si>
  <si>
    <t>Q9 = own name</t>
  </si>
  <si>
    <t>geaba B, B, [prompt], M</t>
  </si>
  <si>
    <t xml:space="preserve">2: Mahiing'an [M] ea Bomboy, Udafuriischi. </t>
  </si>
  <si>
    <t>Q3 = knew "Qawooga" but answered for wrong question</t>
  </si>
  <si>
    <t>FF, F, M, B, B, Z</t>
  </si>
  <si>
    <t>4: Daktari, Gidabadooda, aniini, Udamaleebu</t>
  </si>
  <si>
    <t>used Swahili for B</t>
  </si>
  <si>
    <t>geaba Habari (M?), Gidamiis</t>
  </si>
  <si>
    <t>2: Gidagarmi, Gissakteayda</t>
  </si>
  <si>
    <t>says name for mother relationship</t>
  </si>
  <si>
    <t>FM, FZD, M, B, B</t>
  </si>
  <si>
    <t>4: Gidagearan, Gidahuseanda, Udang'awqeeda</t>
  </si>
  <si>
    <t>Q5 uses only Swahili which perhaps explains confusion, although gets 'binamu' right; asked whether younger sister has sister, she says "no, hasn't been born yet"</t>
  </si>
  <si>
    <t>geaba F, FB, FB, F, geaba FZD, M</t>
  </si>
  <si>
    <t>4: Useaburooda, ani, Gidagearan, Udang'awqeeda</t>
  </si>
  <si>
    <t>says everyone is 'siida haw', and he is jeefta manang' to his mother</t>
  </si>
  <si>
    <t>aseasa, Z, M, ?, Z, B</t>
  </si>
  <si>
    <t>2, 3: Gidahuseanda, Useaburooda, Udang'awqeeda, Ng'araajan</t>
  </si>
  <si>
    <t xml:space="preserve">says house belongs to FM; Q5 = calls FM 'mother' </t>
  </si>
  <si>
    <t>Z, B, B, M [kin term], gweargweeda, M</t>
  </si>
  <si>
    <t>Daktari, Gidabadooda, Udagwealeeda.</t>
  </si>
  <si>
    <t>says house belongs to FM; 5d says huda haw</t>
  </si>
  <si>
    <t>FB, M, FeW</t>
  </si>
  <si>
    <t>Bayanga, Ng'waarda, Gidaneayi, ea Madootay, Gidaqwarda</t>
  </si>
  <si>
    <t>F, M, B, FSD, FeW, FSW, FeW, FD</t>
  </si>
  <si>
    <t>Bayanga, Madootay, Gidaqwarda, ani</t>
  </si>
  <si>
    <t>also knows Uchikon is gaba qweandeayu</t>
  </si>
  <si>
    <t>FFB, FB, FFW, FFWS, FM, FF, M</t>
  </si>
  <si>
    <t>Haweega aa 4, oorjooga aa 4</t>
  </si>
  <si>
    <t>knows that Mang'aang'aan is gatmooda siiyeedeanyu</t>
  </si>
  <si>
    <t>B, B, Z, B, Z, M, FF, FM, FFW, FFWS</t>
  </si>
  <si>
    <t>7: Udaqwayda, Geejaru, Gweaydang'waan, Udahasiin, Yoke, Udamatala</t>
  </si>
  <si>
    <t>answers sibling questions in Swahili and only for older siblings; for younger says "jeefta"</t>
  </si>
  <si>
    <t>FF, FFF, M, FFW, FM, B, FFWS</t>
  </si>
  <si>
    <t>Yoke, Gweaydang'wan, Udamatala, ani, Udahasiin, Geejaru, Haite, Udagadeemga, Yoke</t>
  </si>
  <si>
    <t>FD, FW, M, F</t>
  </si>
  <si>
    <t>2: ani, Mameara</t>
  </si>
  <si>
    <t>For Q6 said siiyeeda</t>
  </si>
  <si>
    <t>B, Z, F, M, Z, FM</t>
  </si>
  <si>
    <t>For M and F, uses reciprocal: I am their child</t>
  </si>
  <si>
    <t>Z, Z, F, M, Z, [prompt] FM</t>
  </si>
  <si>
    <t>FB, FB, F, M, Z, B</t>
  </si>
  <si>
    <t xml:space="preserve">7: Udabiibi, Udamareega, Gidamawu, Danaka, Udahaweega, </t>
  </si>
  <si>
    <t>M, F, B, B, Z</t>
  </si>
  <si>
    <t>4 including self</t>
  </si>
  <si>
    <t>M, F, Z, B, Z, Z, FM</t>
  </si>
  <si>
    <t>3: Agnesi, Sibeengi, Eli (missing one)</t>
  </si>
  <si>
    <t>uses swahili for mama and baba</t>
  </si>
  <si>
    <t xml:space="preserve">"don't know" </t>
  </si>
  <si>
    <t>points at sister</t>
  </si>
  <si>
    <t>FB, FB, FBW, that's it</t>
  </si>
  <si>
    <t>4: Gidamajiin, Udaheeki, Gitteega, ani</t>
  </si>
  <si>
    <t>FS, Z, B, M, F</t>
  </si>
  <si>
    <t>4: Udaheeki, Gidamajiin, Goominyaan</t>
  </si>
  <si>
    <t>M, Z, BS, F, Z, BW</t>
  </si>
  <si>
    <t>for Q11, says "no, just me"</t>
  </si>
  <si>
    <t>B, B, B, Z, B, M, F, BW</t>
  </si>
  <si>
    <t>Gicheameeda, Siikay, Dahidu, Gidang'asheega, Daqealoo, Gittandar, ani</t>
  </si>
  <si>
    <t>FS, FS, F, ?, M</t>
  </si>
  <si>
    <t>2: Margwee, ani</t>
  </si>
  <si>
    <t>FW?, MB, ?, FM</t>
  </si>
  <si>
    <t>Udamugu, Damayba [hasn't met some siblings)</t>
  </si>
  <si>
    <t>very shy</t>
  </si>
  <si>
    <t>F, M, FW, B, B, ?</t>
  </si>
  <si>
    <t>3: Ginnayeegiida, Gidahulanda</t>
  </si>
  <si>
    <t>B, B, B, Z, M, Z, Z, F, Z</t>
  </si>
  <si>
    <t>7 (didn't include self)</t>
  </si>
  <si>
    <t>B, B, B, FM, M, F</t>
  </si>
  <si>
    <t>B, B, B, M, F, Z</t>
  </si>
  <si>
    <t>6 (but named 7)</t>
  </si>
  <si>
    <t>FFS/FB, FZ, FF, FB, M, F</t>
  </si>
  <si>
    <t>2: Udameeruun and me</t>
  </si>
  <si>
    <t>This one's interesting: names people he sees most and knows relations</t>
  </si>
  <si>
    <t>B, FB, B, B, FB, Z, F, M</t>
  </si>
  <si>
    <t>10: (no names)</t>
  </si>
  <si>
    <t>geaba B, B, M [father?] F</t>
  </si>
  <si>
    <t>2: Udabisang'a, Maria, Geejar</t>
  </si>
  <si>
    <t>geaba B, B, B, M, Z, [father?] F</t>
  </si>
  <si>
    <t>4: (no names)</t>
  </si>
  <si>
    <t>Q2 = clan name; Q9 = own name</t>
  </si>
  <si>
    <t>geaba F, FB, B, B, B, B, Z, Z, M</t>
  </si>
  <si>
    <t>10: Gaatu, suu seana</t>
  </si>
  <si>
    <t>Q8 + Q9 = names</t>
  </si>
  <si>
    <t>geaba FB, FB, B, M</t>
  </si>
  <si>
    <t>Pascali, Eliya, Geejalu, Maamaaya</t>
  </si>
  <si>
    <t>Q6 = name</t>
  </si>
  <si>
    <t>Z, Z, B, B, SZ, M</t>
  </si>
  <si>
    <t xml:space="preserve">5: 2 balloojiga, 3 haweega </t>
  </si>
  <si>
    <t>Z, B, [prompt], M?, FWC</t>
  </si>
  <si>
    <t>7: 5 girls, 2 boys</t>
  </si>
  <si>
    <t>M, FM, F, [prompt] Z, Z, B</t>
  </si>
  <si>
    <t>6: 4 girls, 2 boys</t>
  </si>
  <si>
    <t>Q5 = uses Swahili for kaka, dada, bibi</t>
  </si>
  <si>
    <t>geaba aseasa, geaba F, M, Z, B, Z, Z</t>
  </si>
  <si>
    <t>haweega: ani, Udagawiischi, Pendo, Udabongay; balloojiga: 3 - Jakkaya, Amossi, Agusha</t>
  </si>
  <si>
    <t>Uses Swahili for kaka and dada</t>
  </si>
  <si>
    <t>Z, Z, B, M, F</t>
  </si>
  <si>
    <t>9: haweega 6; balloojiga 3</t>
  </si>
  <si>
    <t>Uses Swahili for all kin terms</t>
  </si>
  <si>
    <t>?, Z, Z, B, B, Z, Z, Z</t>
  </si>
  <si>
    <t>Swahili for kaka and dada; says name for Q8 and Q9</t>
  </si>
  <si>
    <t>FB, FB, Z, B, FF, FM, FFW, FFB, B, B, B, Z, Z, M</t>
  </si>
  <si>
    <t>5: included Uchikon, Gidaneayi, didn't say Udagadeemga</t>
  </si>
  <si>
    <t>Said that Jachi is a 'man'; Q8 'man'</t>
  </si>
  <si>
    <t>Z, Z, B, F, FB, M, FM</t>
  </si>
  <si>
    <t>3: 1 Z, 2 B</t>
  </si>
  <si>
    <t>Only child so far to describe siblings in birth order, 'qabat badaydeanyu'</t>
  </si>
  <si>
    <t xml:space="preserve">2 and I'm 3 </t>
  </si>
  <si>
    <t>said "big person" for M and F relation</t>
  </si>
  <si>
    <t>M, FM, F, Z, B, Z, Z</t>
  </si>
  <si>
    <t>9: 2 B and 5 Z</t>
  </si>
  <si>
    <t>uses Swahili: bibi, kaka, dada, mama, baba</t>
  </si>
  <si>
    <t>M, FM, F, Z, Z, B, Z, Z</t>
  </si>
  <si>
    <t>3 B and 5 Z</t>
  </si>
  <si>
    <t>Used Swahili; bibi and kaka, and then got extremely shy towards the end and wouldn't answer</t>
  </si>
  <si>
    <t>Z, Z, Z, Z, Z, Z, M, F, FM</t>
  </si>
  <si>
    <t xml:space="preserve">5: 3B and 5 Z </t>
  </si>
  <si>
    <t xml:space="preserve">May not know Datooga for left hand; said name for Q6 </t>
  </si>
  <si>
    <t>aseasa, M, [finished], (brothers and sisters?)</t>
  </si>
  <si>
    <t>6: 3Z and 3B</t>
  </si>
  <si>
    <t>B, B, Z, ?, FM, M</t>
  </si>
  <si>
    <t>4Z, 2B</t>
  </si>
  <si>
    <t>FFS?, B, M, Z, ?, F?</t>
  </si>
  <si>
    <t>Total correct</t>
  </si>
  <si>
    <t>Total incorrect</t>
  </si>
  <si>
    <t>Total n/a or ?</t>
  </si>
  <si>
    <t>Total</t>
  </si>
  <si>
    <t xml:space="preserve">Q1 = Whose house is this? </t>
  </si>
  <si>
    <t>NB: who do children perceive to be the head of the household? Often grandfather's home, but he has died</t>
  </si>
  <si>
    <t>Q2 = Who is that person's father?</t>
  </si>
  <si>
    <t>But we restrict this to who is FF</t>
  </si>
  <si>
    <t>Q3 = Who is that person's father?</t>
  </si>
  <si>
    <t xml:space="preserve">Q4 = What clan do they belong to? </t>
  </si>
  <si>
    <t>Q1: Kinship category relative to child</t>
  </si>
  <si>
    <t>Q1: Name type</t>
  </si>
  <si>
    <t>Q1: Response</t>
  </si>
  <si>
    <t>Q2: Name type</t>
  </si>
  <si>
    <t>Q3: Name type</t>
  </si>
  <si>
    <t>F</t>
  </si>
  <si>
    <t>domestic name</t>
  </si>
  <si>
    <t>birth name</t>
  </si>
  <si>
    <t>(who lives here: gea F)</t>
  </si>
  <si>
    <t>FF</t>
  </si>
  <si>
    <t>(whose house is this = FF (Mooheeda); then later asks F gaba ng'eah)</t>
  </si>
  <si>
    <t>(first response to Q1 'qaheanya' -- our house')</t>
  </si>
  <si>
    <t>geaba M</t>
  </si>
  <si>
    <t>(mother's people)</t>
  </si>
  <si>
    <t>MZH</t>
  </si>
  <si>
    <t>Christian name</t>
  </si>
  <si>
    <t>MF</t>
  </si>
  <si>
    <t>I think Kathu is Gidahulanda's child</t>
  </si>
  <si>
    <t>unclear</t>
  </si>
  <si>
    <t>DK</t>
  </si>
  <si>
    <t>(she answered by saying M's house, but then we asked her about her patrilineal kin anyway)</t>
  </si>
  <si>
    <t>clan</t>
  </si>
  <si>
    <t>(to Q1 also said 'qaheanya')</t>
  </si>
  <si>
    <t>not asked</t>
  </si>
  <si>
    <t>(we then asked gibea ng'ea, and she said F with birth name, then FF)</t>
  </si>
  <si>
    <t>says clan</t>
  </si>
  <si>
    <t>*uses avoidance variant of birth name</t>
  </si>
  <si>
    <t>(was asked gibea ng'ea for Q1)</t>
  </si>
  <si>
    <t>FM</t>
  </si>
  <si>
    <t>(Q2, then asked who father was -- said domestic name)</t>
  </si>
  <si>
    <t>says F &gt; Hilbagamas; later says Gidamiis is FF, which is correct</t>
  </si>
  <si>
    <t>(prompted)</t>
  </si>
  <si>
    <t>(not sure what I asked: gibea qee beang'?)</t>
  </si>
  <si>
    <t>for Q2, either domestic name or kin term 'babu'</t>
  </si>
  <si>
    <t>gaba "qaheanya"</t>
  </si>
  <si>
    <t>for Q3 "maytanal"</t>
  </si>
  <si>
    <t>clan name</t>
  </si>
  <si>
    <t>(should maybe code as knowing clan?)</t>
  </si>
  <si>
    <t>incorrect?</t>
  </si>
  <si>
    <t>Not that they don't know their clan; they just answer the question wrong</t>
  </si>
  <si>
    <t>(FFF 'Luulu' -- possibly domestic name?)</t>
  </si>
  <si>
    <t>(Descendants of Luulu all know this stuff?!)</t>
  </si>
  <si>
    <t>named F</t>
  </si>
  <si>
    <t>named FF</t>
  </si>
  <si>
    <t>named M</t>
  </si>
  <si>
    <t>named FM</t>
  </si>
  <si>
    <t>named MF</t>
  </si>
  <si>
    <t>+MZH, +geaba M</t>
  </si>
  <si>
    <t>Overall</t>
  </si>
  <si>
    <t>used birth name</t>
  </si>
  <si>
    <t>used domestic name</t>
  </si>
  <si>
    <t>used christian name</t>
  </si>
  <si>
    <t xml:space="preserve">For F </t>
  </si>
  <si>
    <t>Used domestic name</t>
  </si>
  <si>
    <t>For FF</t>
  </si>
  <si>
    <t>D.O.B.</t>
  </si>
  <si>
    <t>Age</t>
  </si>
  <si>
    <t xml:space="preserve">Age2 </t>
  </si>
  <si>
    <t>Gender</t>
  </si>
  <si>
    <t>Household</t>
  </si>
  <si>
    <t>Village</t>
  </si>
  <si>
    <t>Village_recoded</t>
  </si>
  <si>
    <t>Clan</t>
  </si>
  <si>
    <t>Education</t>
  </si>
  <si>
    <t>Date of interview</t>
  </si>
  <si>
    <t>Location of interview</t>
  </si>
  <si>
    <t>Interviewer</t>
  </si>
  <si>
    <t>Maganga</t>
  </si>
  <si>
    <t>8;6</t>
  </si>
  <si>
    <t>Mooheeda</t>
  </si>
  <si>
    <t>Garawja</t>
  </si>
  <si>
    <t>Malleyeck</t>
  </si>
  <si>
    <t>child's home</t>
  </si>
  <si>
    <t>Mama Happy</t>
  </si>
  <si>
    <t>Geejalu</t>
  </si>
  <si>
    <t>none</t>
  </si>
  <si>
    <t>Heaqwaan</t>
  </si>
  <si>
    <t>5;6</t>
  </si>
  <si>
    <t>Udamaani</t>
  </si>
  <si>
    <t>2;6</t>
  </si>
  <si>
    <t>Gitteaqwealma</t>
  </si>
  <si>
    <t>Eshkesh</t>
  </si>
  <si>
    <t>Eli</t>
  </si>
  <si>
    <t>07.07.2007</t>
  </si>
  <si>
    <t>Marco</t>
  </si>
  <si>
    <t>Getanyamba</t>
  </si>
  <si>
    <t>lives with mother's sister's family</t>
  </si>
  <si>
    <t>Babu</t>
  </si>
  <si>
    <t>28.05.2008</t>
  </si>
  <si>
    <t>lives in mother's father's family</t>
  </si>
  <si>
    <t>Dogo</t>
  </si>
  <si>
    <t>21.10.2010</t>
  </si>
  <si>
    <t>6;6</t>
  </si>
  <si>
    <t>lives in mother's father's house</t>
  </si>
  <si>
    <t>Kathu</t>
  </si>
  <si>
    <t>Mudaan</t>
  </si>
  <si>
    <t>Gidoobaati</t>
  </si>
  <si>
    <t>Dabado</t>
  </si>
  <si>
    <t>Bataandi</t>
  </si>
  <si>
    <t>Udamalila</t>
  </si>
  <si>
    <t>nursery</t>
  </si>
  <si>
    <t>Qandajeanda</t>
  </si>
  <si>
    <t>Gidahuseanda</t>
  </si>
  <si>
    <t>18.12.2008</t>
  </si>
  <si>
    <t>Gidabardeayda</t>
  </si>
  <si>
    <t xml:space="preserve">Udafuriischi </t>
  </si>
  <si>
    <t>Laalaan</t>
  </si>
  <si>
    <t>01.12.2010</t>
  </si>
  <si>
    <t xml:space="preserve">Madoori </t>
  </si>
  <si>
    <t>7.7.2014</t>
  </si>
  <si>
    <t>2;11</t>
  </si>
  <si>
    <t>Udagwealeeda</t>
  </si>
  <si>
    <t>01.12.2007</t>
  </si>
  <si>
    <t xml:space="preserve">9;6 </t>
  </si>
  <si>
    <t>Gidamiis</t>
  </si>
  <si>
    <t>class 1</t>
  </si>
  <si>
    <t>Gidameajooda</t>
  </si>
  <si>
    <t>Useaburooda</t>
  </si>
  <si>
    <t>6.4.2008</t>
  </si>
  <si>
    <t>9;2</t>
  </si>
  <si>
    <t>1.3.2010</t>
  </si>
  <si>
    <t>7;3</t>
  </si>
  <si>
    <t>Gidagearan</t>
  </si>
  <si>
    <t>Udamaleebu</t>
  </si>
  <si>
    <t>1.12.2011</t>
  </si>
  <si>
    <t>Gidaqwarda</t>
  </si>
  <si>
    <t>01.01.2011</t>
  </si>
  <si>
    <t>6;5</t>
  </si>
  <si>
    <t>Alice</t>
  </si>
  <si>
    <t>Gidaneayi</t>
  </si>
  <si>
    <t>20.12.2006</t>
  </si>
  <si>
    <t>10;6</t>
  </si>
  <si>
    <t>Udahasiin</t>
  </si>
  <si>
    <t>Haite</t>
  </si>
  <si>
    <t>Udaqwayda</t>
  </si>
  <si>
    <t>Udagubaandi</t>
  </si>
  <si>
    <t>Neanagi</t>
  </si>
  <si>
    <t>Udabibi</t>
  </si>
  <si>
    <t>8 or 9</t>
  </si>
  <si>
    <t>Wariini</t>
  </si>
  <si>
    <t>Udamareega</t>
  </si>
  <si>
    <t>5 or 6</t>
  </si>
  <si>
    <t>Paulo</t>
  </si>
  <si>
    <t>Bahati</t>
  </si>
  <si>
    <t>11;6</t>
  </si>
  <si>
    <t>Ginnaadi</t>
  </si>
  <si>
    <t>Udamooqo</t>
  </si>
  <si>
    <t>8.08.2009</t>
  </si>
  <si>
    <t>Guttaya</t>
  </si>
  <si>
    <t xml:space="preserve">none </t>
  </si>
  <si>
    <t>Sineengi</t>
  </si>
  <si>
    <t>Udameebiiw</t>
  </si>
  <si>
    <t>Goominyaan</t>
  </si>
  <si>
    <t>Gitteegwa</t>
  </si>
  <si>
    <t>Baabu</t>
  </si>
  <si>
    <t>11?</t>
  </si>
  <si>
    <t>Baabay</t>
  </si>
  <si>
    <t>Udabendo</t>
  </si>
  <si>
    <t>Gidambooru</t>
  </si>
  <si>
    <t>Gabiigu/Samwel</t>
  </si>
  <si>
    <t>Udaluulu</t>
  </si>
  <si>
    <t>Bulingo</t>
  </si>
  <si>
    <t>5 or so</t>
  </si>
  <si>
    <t>Gittonge</t>
  </si>
  <si>
    <t>Udamsungu</t>
  </si>
  <si>
    <t>Geeweayi</t>
  </si>
  <si>
    <t>Usiptaar</t>
  </si>
  <si>
    <t>Sireang'sa</t>
  </si>
  <si>
    <t>Bluu</t>
  </si>
  <si>
    <t>Maria</t>
  </si>
  <si>
    <t>Muttareas</t>
  </si>
  <si>
    <t>4 or 5</t>
  </si>
  <si>
    <t>Pascali</t>
  </si>
  <si>
    <t xml:space="preserve">Geejaru </t>
  </si>
  <si>
    <t>Utaleala</t>
  </si>
  <si>
    <t>Manang'i</t>
  </si>
  <si>
    <t>10 or 11</t>
  </si>
  <si>
    <t>Gidamishaan</t>
  </si>
  <si>
    <t>class 2</t>
  </si>
  <si>
    <t>Naani</t>
  </si>
  <si>
    <t>Maqaa</t>
  </si>
  <si>
    <t>Magugu</t>
  </si>
  <si>
    <t>Udameefuuf</t>
  </si>
  <si>
    <t>Dambiir</t>
  </si>
  <si>
    <t>Udagaakaan</t>
  </si>
  <si>
    <t>Gudung'</t>
  </si>
  <si>
    <t>Gidamsungu</t>
  </si>
  <si>
    <t xml:space="preserve">Neesi </t>
  </si>
  <si>
    <t>Gidameela</t>
  </si>
  <si>
    <t>Meereakwa</t>
  </si>
  <si>
    <t>Udamalipo</t>
  </si>
  <si>
    <t>Ungo</t>
  </si>
  <si>
    <t>Uyyam</t>
  </si>
  <si>
    <t xml:space="preserve">Ungo </t>
  </si>
  <si>
    <t>Udang'awqeeda</t>
  </si>
  <si>
    <t>Ginnuwaas</t>
  </si>
  <si>
    <t>Gidamaaqweal</t>
  </si>
  <si>
    <t>Dabaheeda</t>
  </si>
  <si>
    <t>Gineaneacha</t>
  </si>
  <si>
    <t>Hirjeaw</t>
  </si>
  <si>
    <t>Father to brother in under 6s?</t>
  </si>
  <si>
    <t>The first questions test kinship knowledge: who's who.</t>
  </si>
  <si>
    <t>The relational questions rely on communicative competence; that when you're asked 'aba heeda X, Y naaha' you respond with a kinship term</t>
  </si>
  <si>
    <t>Random observations</t>
  </si>
  <si>
    <t>– Younger children (what age) sometimes say that the house belongs to a woman; older children never do this</t>
  </si>
  <si>
    <t xml:space="preserve">– Gidaqwarda includes Ng'waarda in his mother's house, even though he's not his mother's child </t>
  </si>
  <si>
    <t>– When children get grandma wrong they usually say 'mother'</t>
  </si>
  <si>
    <t>Notes on coding Q5a–j</t>
  </si>
  <si>
    <t>If the child stays silent or said "don't know" in response to a question, they're given 0 (but this isn't necessarily evidence that they really don't know)</t>
  </si>
  <si>
    <t>If the child repeats the person's name rather than gives a kin term, they get 0 (again, perhaps only shows lack of familiarity with question)</t>
  </si>
  <si>
    <t xml:space="preserve">If child uses noun phrase to describe person, e.g. 'child', 'senior person', gets 0 </t>
  </si>
  <si>
    <t>One child in answer to "who is [Z] to you" answered "I am her B" and I marked this as correct</t>
  </si>
  <si>
    <t>One child in answer to "who is [FM] to you" said "mother of [father's name]" rather than the kin term from his own perspective; marked this as correct</t>
  </si>
  <si>
    <t>If the child gives the right answer at any point, even after saying "I don't know", they're marked correct</t>
  </si>
  <si>
    <t>If I wasn't sure of the relation, I marked it as n/a</t>
  </si>
  <si>
    <t>Graph everything</t>
  </si>
  <si>
    <t>can we make a village traditional index?</t>
  </si>
  <si>
    <t>model with boundaries - binomial model logitic?</t>
  </si>
  <si>
    <t xml:space="preserve">What do we want to know? </t>
  </si>
  <si>
    <t>What factors affect children's genealogical knowledge? Age / gender / where they live</t>
  </si>
  <si>
    <t>logistic regression on each question, weighted inverse correct average of score, linear model</t>
  </si>
  <si>
    <t xml:space="preserve">Maybe: who gets listed in the listing task? Who is conceptually prominent? </t>
  </si>
  <si>
    <t>Of the people they listed, how many egocentric relationships did they get right? (binomial modeal)</t>
  </si>
  <si>
    <t>success is number right, failures is number wrong, predicted by age gender and where they live - can this be weighted as kin identification is harder as questions get older</t>
  </si>
  <si>
    <t>At what age can children take an allocentric perspective on kinship relations? Q6</t>
  </si>
  <si>
    <t>logisitic regression on Q6 w/ age, gender, where they live</t>
  </si>
  <si>
    <t>At what age can children take someone else's perspective on who they are to that person? Q9</t>
  </si>
  <si>
    <t>same as above but w/ q9</t>
  </si>
  <si>
    <t>Age at which they can identify their own right hand</t>
  </si>
  <si>
    <t>Age at which they can reverse perspective on right hand</t>
  </si>
  <si>
    <t>Does scoring well on right hand (Q13, Q14) predict how well the kid does on the allocentric task?</t>
  </si>
  <si>
    <t>is Q6 predicted by age of hand reversal?</t>
  </si>
  <si>
    <t>Hypotheses</t>
  </si>
  <si>
    <t>Children get better at everything as they get older (specifically, genealogical knowledge increases; ability to label kinship relations; ability to take allocentric perspective)</t>
  </si>
  <si>
    <t>Children's ability to reverse righty handy predicts their ability to take allocentric perspective on kinship</t>
  </si>
  <si>
    <t>Total referred to</t>
  </si>
  <si>
    <t>% correct of those who named that category</t>
  </si>
  <si>
    <t>How many start w parental generation</t>
  </si>
  <si>
    <t>34/65</t>
  </si>
  <si>
    <t>How many start w own generation</t>
  </si>
  <si>
    <t>25/65</t>
  </si>
  <si>
    <t>2;5-4;11</t>
  </si>
  <si>
    <t>5;0–7;4</t>
  </si>
  <si>
    <t>7;5–9;11</t>
  </si>
  <si>
    <t>10;0–13</t>
  </si>
  <si>
    <t>&lt;1 year</t>
  </si>
  <si>
    <t>1–3 years</t>
  </si>
  <si>
    <t>A (Eshkesh)</t>
  </si>
  <si>
    <t>B (Getanyamba)</t>
  </si>
  <si>
    <t>C (Garawja)</t>
  </si>
  <si>
    <t>Responded using kin terms?</t>
  </si>
  <si>
    <t>If N, responded how?</t>
  </si>
  <si>
    <t>Y</t>
  </si>
  <si>
    <t>Uses Swahili for M, Z, B</t>
  </si>
  <si>
    <t>Uses Datooga; doesn't know for siblings, says "they call me brother"</t>
  </si>
  <si>
    <t>for his grandma, says "Qeamata Baapoy"</t>
  </si>
  <si>
    <t>N</t>
  </si>
  <si>
    <t>Uses Swahili for M and FM</t>
  </si>
  <si>
    <t>Datooga for M; Swahili for MM and MB</t>
  </si>
  <si>
    <t>uses domestic names</t>
  </si>
  <si>
    <t>no answer</t>
  </si>
  <si>
    <t>uses Swahili for M and F; then 'diibiga giiyeanya"</t>
  </si>
  <si>
    <t>uses Swahili for F</t>
  </si>
  <si>
    <t>uses Swahili for Z, B, for mother uses domestic name</t>
  </si>
  <si>
    <t>Y/N</t>
  </si>
  <si>
    <t>names, also 'siida haw'</t>
  </si>
  <si>
    <t>Uses Swahili for F</t>
  </si>
  <si>
    <t>names</t>
  </si>
  <si>
    <t>Says jeefta giiyeanya</t>
  </si>
  <si>
    <t>Uses Swahili for B and Z</t>
  </si>
  <si>
    <t>"mandan" or name</t>
  </si>
  <si>
    <t>"siida haw"</t>
  </si>
  <si>
    <t>Swahili for F and B, also says 'gatmooda' for M?</t>
  </si>
  <si>
    <t>didn't answer</t>
  </si>
  <si>
    <t>Uses Swahili for FM, cousin, MB</t>
  </si>
  <si>
    <t>siida haw</t>
  </si>
  <si>
    <t>huda haw</t>
  </si>
  <si>
    <t>maanali</t>
  </si>
  <si>
    <t>uses only Datooga; also calls Quleela "gatmoodeanyu"</t>
  </si>
  <si>
    <t>uses only Datooga (except bibi but also says Datooga); describes Mang'aang'aana as "gatmooda siiyeedeanyu"</t>
  </si>
  <si>
    <t>uses only Swahili (school)</t>
  </si>
  <si>
    <t>uses Datooga</t>
  </si>
  <si>
    <t>uses Datooga; for F says "geawaschi jeeptaanyi"</t>
  </si>
  <si>
    <t>Datooga</t>
  </si>
  <si>
    <t>N/A</t>
  </si>
  <si>
    <t>doesn't answer or 'siida haw'</t>
  </si>
  <si>
    <t>uses Datooga; for sisters says 'geebea qeamadag', for BW says gatmoodeanyu</t>
  </si>
  <si>
    <t>some maanalis</t>
  </si>
  <si>
    <t>maanali or domestic name</t>
  </si>
  <si>
    <t>says huda for one</t>
  </si>
  <si>
    <t>uses Datooga for M</t>
  </si>
  <si>
    <t>uses Swahili for B, Z, and Datooga for FB, F, and M</t>
  </si>
  <si>
    <t>silence</t>
  </si>
  <si>
    <t>name for one</t>
  </si>
  <si>
    <t xml:space="preserve">uses names </t>
  </si>
  <si>
    <t>"geeguura Jachi"</t>
  </si>
  <si>
    <t>Swahili for MB, M, Datooga for FB</t>
  </si>
  <si>
    <t>huda hawi', aa manang' aba heeda…"</t>
  </si>
  <si>
    <t>uses Datooga for M, F; Swahili for FM, Z, B</t>
  </si>
  <si>
    <t>Datooga for M; Swahili for Z and B</t>
  </si>
  <si>
    <t>only Swahili (B, Z, M, F)</t>
  </si>
  <si>
    <t>Swahili for B and Z</t>
  </si>
  <si>
    <t>name, jeepta, ng'eedeeda, qeamata, balleanda</t>
  </si>
  <si>
    <t>Datooga only; also uses qabat badaydeanyu for siblings and for FB</t>
  </si>
  <si>
    <t>only Swahili (M, FM, F, Z, B)</t>
  </si>
  <si>
    <t>maanali for one</t>
  </si>
  <si>
    <t>Swahili (FM, B)</t>
  </si>
  <si>
    <t>for one repeated name</t>
  </si>
  <si>
    <t>Datooga for M, F, FM</t>
  </si>
  <si>
    <t>Datooga only, uses jeefteanyu</t>
  </si>
  <si>
    <t>Swahili for M, Datooga for B, Z</t>
  </si>
  <si>
    <t>(there is 4.5 but they only use qeamata)</t>
  </si>
  <si>
    <t>Datooga for M (but qeamata not qeamateanyu)</t>
  </si>
  <si>
    <t xml:space="preserve">Age range for kin term use: 5.5–13 </t>
  </si>
  <si>
    <t>Age range for non-kin term use: 2.5-10</t>
  </si>
  <si>
    <t>N or n/a</t>
  </si>
  <si>
    <t>Alternative responses</t>
  </si>
  <si>
    <t>geeguura bibi</t>
  </si>
  <si>
    <t>qeamata</t>
  </si>
  <si>
    <t>gaguura baaba</t>
  </si>
  <si>
    <t>mandan</t>
  </si>
  <si>
    <t>babahi</t>
  </si>
  <si>
    <t>miidayii</t>
  </si>
  <si>
    <t>Gaakiida</t>
  </si>
  <si>
    <t>Majirjir</t>
  </si>
  <si>
    <t>siiyeedaanyi</t>
  </si>
  <si>
    <t>baba</t>
  </si>
  <si>
    <t>Qariibo</t>
  </si>
  <si>
    <t>Jachi aqwahit</t>
  </si>
  <si>
    <t>geeguuran Damung'aan</t>
  </si>
  <si>
    <t>Nungo (? - possibly her marital name?)</t>
  </si>
  <si>
    <t>gweargweeda</t>
  </si>
  <si>
    <t>Gangiida</t>
  </si>
  <si>
    <t>F's name</t>
  </si>
  <si>
    <t>M's name</t>
  </si>
  <si>
    <t xml:space="preserve"> (but if you ask who is Jachi's wife, he can name her)</t>
  </si>
  <si>
    <t>her husband</t>
  </si>
  <si>
    <t>bibi</t>
  </si>
  <si>
    <t>M's name?</t>
  </si>
  <si>
    <t xml:space="preserve">are you an aunt or uncle?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</si>
</sst>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Fill="1"/>
    <xf numFmtId="0" fontId="3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15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/>
    <xf numFmtId="20" fontId="0" fillId="0" borderId="0" xfId="0" applyNumberForma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10" fontId="0" fillId="0" borderId="0" xfId="0" applyNumberFormat="1"/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 quotePrefix="1"/>
    <xf numFmtId="0" fontId="8" fillId="3" borderId="0" xfId="1" applyAlignment="1">
      <alignment horizontal="left"/>
    </xf>
    <xf numFmtId="165" fontId="4" fillId="0" borderId="0" xfId="0" applyNumberFormat="1" applyFon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6BA6-2822-F041-8F25-102A56D8273E}">
  <dimension ref="A1:F29"/>
  <sheetViews>
    <sheetView tabSelected="1" zoomScale="120" zoomScaleNormal="120" workbookViewId="0">
      <selection activeCell="B7" sqref="B7"/>
    </sheetView>
  </sheetViews>
  <sheetFormatPr baseColWidth="10" defaultColWidth="10.83203125" defaultRowHeight="16" x14ac:dyDescent="0.2"/>
  <cols>
    <col min="1" max="1" width="6.6640625" style="2" customWidth="1"/>
    <col min="2" max="2" width="48.5" style="1" customWidth="1"/>
    <col min="3" max="3" width="19.1640625" style="1" customWidth="1"/>
    <col min="4" max="4" width="32.6640625" style="1" customWidth="1"/>
    <col min="5" max="5" width="24.83203125" style="1" customWidth="1"/>
    <col min="6" max="16384" width="10.83203125" style="1"/>
  </cols>
  <sheetData>
    <row r="1" spans="1:6" s="4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2">
        <v>2</v>
      </c>
      <c r="B3" s="1" t="s">
        <v>11</v>
      </c>
      <c r="C3" s="1" t="s">
        <v>7</v>
      </c>
      <c r="D3" s="1" t="s">
        <v>8</v>
      </c>
      <c r="E3" s="1" t="s">
        <v>9</v>
      </c>
    </row>
    <row r="4" spans="1:6" x14ac:dyDescent="0.2">
      <c r="A4" s="2">
        <v>3</v>
      </c>
      <c r="B4" s="1" t="s">
        <v>12</v>
      </c>
      <c r="C4" s="1" t="s">
        <v>7</v>
      </c>
      <c r="D4" s="1" t="s">
        <v>8</v>
      </c>
      <c r="E4" s="1" t="s">
        <v>9</v>
      </c>
    </row>
    <row r="5" spans="1:6" x14ac:dyDescent="0.2">
      <c r="A5" s="2">
        <v>4</v>
      </c>
      <c r="B5" s="1" t="s">
        <v>13</v>
      </c>
      <c r="C5" s="1" t="s">
        <v>7</v>
      </c>
      <c r="D5" s="1" t="s">
        <v>8</v>
      </c>
      <c r="E5" s="1" t="s">
        <v>9</v>
      </c>
    </row>
    <row r="6" spans="1:6" x14ac:dyDescent="0.2">
      <c r="A6" s="2">
        <v>5</v>
      </c>
      <c r="B6" s="1" t="s">
        <v>14</v>
      </c>
      <c r="C6" s="1" t="s">
        <v>15</v>
      </c>
      <c r="D6" s="1" t="s">
        <v>16</v>
      </c>
      <c r="E6" s="1" t="s">
        <v>9</v>
      </c>
    </row>
    <row r="7" spans="1:6" x14ac:dyDescent="0.2">
      <c r="A7" s="2" t="s">
        <v>17</v>
      </c>
      <c r="B7" s="1" t="s">
        <v>610</v>
      </c>
      <c r="C7" s="1" t="s">
        <v>18</v>
      </c>
      <c r="D7" s="1" t="s">
        <v>8</v>
      </c>
      <c r="E7" s="1" t="s">
        <v>19</v>
      </c>
    </row>
    <row r="8" spans="1:6" x14ac:dyDescent="0.2">
      <c r="A8" s="2" t="s">
        <v>20</v>
      </c>
      <c r="B8" s="1" t="s">
        <v>21</v>
      </c>
      <c r="C8" s="1" t="s">
        <v>18</v>
      </c>
      <c r="D8" s="1" t="s">
        <v>8</v>
      </c>
      <c r="E8" s="1" t="s">
        <v>22</v>
      </c>
    </row>
    <row r="9" spans="1:6" x14ac:dyDescent="0.2">
      <c r="A9" s="2" t="s">
        <v>23</v>
      </c>
      <c r="B9" s="1" t="s">
        <v>24</v>
      </c>
      <c r="C9" s="1" t="s">
        <v>18</v>
      </c>
      <c r="D9" s="1" t="s">
        <v>8</v>
      </c>
      <c r="E9" s="1" t="s">
        <v>25</v>
      </c>
    </row>
    <row r="10" spans="1:6" x14ac:dyDescent="0.2">
      <c r="A10" s="2" t="s">
        <v>26</v>
      </c>
      <c r="B10" s="1" t="s">
        <v>27</v>
      </c>
      <c r="C10" s="1" t="s">
        <v>18</v>
      </c>
      <c r="D10" s="1" t="s">
        <v>8</v>
      </c>
      <c r="E10" s="1" t="s">
        <v>28</v>
      </c>
    </row>
    <row r="11" spans="1:6" x14ac:dyDescent="0.2">
      <c r="A11" s="2" t="s">
        <v>29</v>
      </c>
      <c r="B11" s="1" t="s">
        <v>30</v>
      </c>
      <c r="C11" s="1" t="s">
        <v>18</v>
      </c>
      <c r="D11" s="1" t="s">
        <v>8</v>
      </c>
      <c r="E11" s="1" t="s">
        <v>31</v>
      </c>
    </row>
    <row r="12" spans="1:6" x14ac:dyDescent="0.2">
      <c r="A12" s="2" t="s">
        <v>32</v>
      </c>
      <c r="B12" s="1" t="s">
        <v>33</v>
      </c>
      <c r="C12" s="1" t="s">
        <v>18</v>
      </c>
      <c r="D12" s="1" t="s">
        <v>8</v>
      </c>
      <c r="E12" s="1" t="s">
        <v>34</v>
      </c>
    </row>
    <row r="13" spans="1:6" x14ac:dyDescent="0.2">
      <c r="A13" s="2" t="s">
        <v>35</v>
      </c>
      <c r="B13" s="1" t="s">
        <v>36</v>
      </c>
      <c r="C13" s="1" t="s">
        <v>18</v>
      </c>
      <c r="D13" s="1" t="s">
        <v>8</v>
      </c>
      <c r="E13" s="1" t="s">
        <v>34</v>
      </c>
    </row>
    <row r="14" spans="1:6" x14ac:dyDescent="0.2">
      <c r="A14" s="2" t="s">
        <v>37</v>
      </c>
      <c r="B14" s="1" t="s">
        <v>38</v>
      </c>
      <c r="C14" s="1" t="s">
        <v>18</v>
      </c>
      <c r="D14" s="1" t="s">
        <v>8</v>
      </c>
      <c r="E14" s="1" t="s">
        <v>39</v>
      </c>
    </row>
    <row r="15" spans="1:6" x14ac:dyDescent="0.2">
      <c r="A15" s="2" t="s">
        <v>40</v>
      </c>
      <c r="B15" s="1" t="s">
        <v>41</v>
      </c>
      <c r="C15" s="1" t="s">
        <v>18</v>
      </c>
      <c r="D15" s="1" t="s">
        <v>8</v>
      </c>
      <c r="E15" s="1" t="s">
        <v>42</v>
      </c>
    </row>
    <row r="16" spans="1:6" x14ac:dyDescent="0.2">
      <c r="A16" s="2" t="s">
        <v>43</v>
      </c>
      <c r="B16" s="1" t="s">
        <v>44</v>
      </c>
      <c r="C16" s="1" t="s">
        <v>18</v>
      </c>
      <c r="D16" s="1" t="s">
        <v>8</v>
      </c>
      <c r="E16" s="1" t="s">
        <v>45</v>
      </c>
    </row>
    <row r="17" spans="1:6" x14ac:dyDescent="0.2">
      <c r="A17" s="2" t="s">
        <v>46</v>
      </c>
      <c r="B17" s="1" t="s">
        <v>47</v>
      </c>
    </row>
    <row r="18" spans="1:6" x14ac:dyDescent="0.2">
      <c r="A18" s="2" t="s">
        <v>48</v>
      </c>
      <c r="B18" s="1" t="s">
        <v>49</v>
      </c>
    </row>
    <row r="19" spans="1:6" x14ac:dyDescent="0.2">
      <c r="A19" s="2" t="s">
        <v>50</v>
      </c>
      <c r="B19" s="1" t="s">
        <v>51</v>
      </c>
    </row>
    <row r="20" spans="1:6" x14ac:dyDescent="0.2">
      <c r="A20" s="2" t="s">
        <v>52</v>
      </c>
      <c r="B20" s="1" t="s">
        <v>53</v>
      </c>
    </row>
    <row r="21" spans="1:6" x14ac:dyDescent="0.2">
      <c r="A21" s="2">
        <v>6</v>
      </c>
      <c r="B21" s="1" t="s">
        <v>54</v>
      </c>
      <c r="C21" s="1" t="s">
        <v>18</v>
      </c>
      <c r="D21" s="1" t="s">
        <v>8</v>
      </c>
      <c r="E21" s="1" t="s">
        <v>55</v>
      </c>
    </row>
    <row r="22" spans="1:6" x14ac:dyDescent="0.2">
      <c r="A22" s="2">
        <v>7</v>
      </c>
      <c r="B22" s="1" t="s">
        <v>56</v>
      </c>
      <c r="C22" s="1" t="s">
        <v>57</v>
      </c>
      <c r="D22" s="1" t="s">
        <v>8</v>
      </c>
      <c r="E22" s="1" t="s">
        <v>58</v>
      </c>
    </row>
    <row r="23" spans="1:6" x14ac:dyDescent="0.2">
      <c r="A23" s="2">
        <v>8</v>
      </c>
      <c r="B23" s="1" t="s">
        <v>59</v>
      </c>
      <c r="C23" s="1" t="s">
        <v>18</v>
      </c>
      <c r="D23" s="1" t="s">
        <v>8</v>
      </c>
      <c r="E23" s="1" t="s">
        <v>60</v>
      </c>
    </row>
    <row r="24" spans="1:6" x14ac:dyDescent="0.2">
      <c r="A24" s="2">
        <v>9</v>
      </c>
      <c r="B24" s="1" t="s">
        <v>61</v>
      </c>
      <c r="C24" s="1" t="s">
        <v>18</v>
      </c>
      <c r="D24" s="1" t="s">
        <v>8</v>
      </c>
      <c r="E24" s="1" t="s">
        <v>62</v>
      </c>
      <c r="F24" s="1" t="s">
        <v>63</v>
      </c>
    </row>
    <row r="25" spans="1:6" x14ac:dyDescent="0.2">
      <c r="A25" s="2">
        <v>10</v>
      </c>
      <c r="B25" s="1" t="s">
        <v>64</v>
      </c>
      <c r="C25" s="1" t="s">
        <v>7</v>
      </c>
      <c r="D25" s="1" t="s">
        <v>8</v>
      </c>
      <c r="E25" s="1" t="s">
        <v>9</v>
      </c>
      <c r="F25" s="1" t="s">
        <v>65</v>
      </c>
    </row>
    <row r="26" spans="1:6" x14ac:dyDescent="0.2">
      <c r="A26" s="2">
        <v>11</v>
      </c>
      <c r="B26" s="1" t="s">
        <v>66</v>
      </c>
      <c r="C26" s="1" t="s">
        <v>67</v>
      </c>
      <c r="D26" s="1" t="s">
        <v>8</v>
      </c>
      <c r="E26" s="1" t="s">
        <v>9</v>
      </c>
      <c r="F26" s="1" t="s">
        <v>68</v>
      </c>
    </row>
    <row r="27" spans="1:6" x14ac:dyDescent="0.2">
      <c r="A27" s="2">
        <v>12</v>
      </c>
      <c r="B27" s="1" t="s">
        <v>69</v>
      </c>
      <c r="C27" s="1" t="s">
        <v>70</v>
      </c>
      <c r="D27" s="1" t="s">
        <v>8</v>
      </c>
      <c r="E27" s="1" t="s">
        <v>9</v>
      </c>
      <c r="F27" s="1" t="s">
        <v>71</v>
      </c>
    </row>
    <row r="28" spans="1:6" x14ac:dyDescent="0.2">
      <c r="A28" s="2">
        <v>13</v>
      </c>
      <c r="B28" s="1" t="s">
        <v>72</v>
      </c>
      <c r="C28" s="1" t="s">
        <v>73</v>
      </c>
      <c r="D28" s="1" t="s">
        <v>8</v>
      </c>
    </row>
    <row r="29" spans="1:6" x14ac:dyDescent="0.2">
      <c r="A29" s="2">
        <v>14</v>
      </c>
      <c r="B29" s="1" t="s">
        <v>74</v>
      </c>
      <c r="C29" s="1" t="s">
        <v>73</v>
      </c>
      <c r="D29" s="1" t="s">
        <v>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C4FA-92F0-594D-B703-190B3185814E}">
  <dimension ref="A1:AE82"/>
  <sheetViews>
    <sheetView zoomScale="120" zoomScaleNormal="120" workbookViewId="0">
      <pane ySplit="1" topLeftCell="A2" activePane="bottomLeft" state="frozen"/>
      <selection pane="bottomLeft" activeCell="F2" sqref="F2"/>
    </sheetView>
  </sheetViews>
  <sheetFormatPr baseColWidth="10" defaultColWidth="11" defaultRowHeight="16" x14ac:dyDescent="0.2"/>
  <cols>
    <col min="1" max="1" width="12.1640625" customWidth="1"/>
    <col min="6" max="6" width="35.83203125" style="15" customWidth="1"/>
    <col min="23" max="23" width="52" style="15" customWidth="1"/>
    <col min="29" max="29" width="7.1640625" customWidth="1"/>
    <col min="30" max="30" width="9" customWidth="1"/>
  </cols>
  <sheetData>
    <row r="1" spans="1:31" s="3" customFormat="1" ht="17" x14ac:dyDescent="0.2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14" t="s">
        <v>80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3" t="s">
        <v>86</v>
      </c>
      <c r="M1" s="3" t="s">
        <v>87</v>
      </c>
      <c r="N1" s="3" t="s">
        <v>88</v>
      </c>
      <c r="O1" s="3" t="s">
        <v>89</v>
      </c>
      <c r="P1" s="3" t="s">
        <v>90</v>
      </c>
      <c r="Q1" s="3" t="s">
        <v>91</v>
      </c>
      <c r="R1" s="3" t="s">
        <v>92</v>
      </c>
      <c r="S1" s="3" t="s">
        <v>93</v>
      </c>
      <c r="T1" s="3" t="s">
        <v>94</v>
      </c>
      <c r="U1" s="3" t="s">
        <v>95</v>
      </c>
      <c r="V1" s="3" t="s">
        <v>96</v>
      </c>
      <c r="W1" s="14" t="s">
        <v>97</v>
      </c>
      <c r="X1" s="3" t="s">
        <v>98</v>
      </c>
      <c r="Y1" s="3" t="s">
        <v>99</v>
      </c>
      <c r="Z1" s="3" t="s">
        <v>100</v>
      </c>
      <c r="AA1" s="3" t="s">
        <v>101</v>
      </c>
      <c r="AB1" s="3" t="s">
        <v>102</v>
      </c>
      <c r="AC1" s="3" t="s">
        <v>103</v>
      </c>
      <c r="AD1" s="3" t="s">
        <v>104</v>
      </c>
      <c r="AE1" s="3" t="s">
        <v>5</v>
      </c>
    </row>
    <row r="2" spans="1:31" ht="17" x14ac:dyDescent="0.2">
      <c r="A2">
        <v>1</v>
      </c>
      <c r="B2">
        <v>1</v>
      </c>
      <c r="C2">
        <v>1</v>
      </c>
      <c r="D2">
        <v>1</v>
      </c>
      <c r="E2">
        <v>1</v>
      </c>
      <c r="F2" s="15" t="s">
        <v>105</v>
      </c>
      <c r="G2">
        <v>1</v>
      </c>
      <c r="H2">
        <v>1</v>
      </c>
      <c r="I2">
        <v>1</v>
      </c>
      <c r="J2">
        <v>1</v>
      </c>
      <c r="K2" t="s">
        <v>106</v>
      </c>
      <c r="L2" t="s">
        <v>106</v>
      </c>
      <c r="M2" t="s">
        <v>106</v>
      </c>
      <c r="N2" t="s">
        <v>106</v>
      </c>
      <c r="O2" t="s">
        <v>106</v>
      </c>
      <c r="P2" t="s">
        <v>106</v>
      </c>
      <c r="Q2" t="s">
        <v>106</v>
      </c>
      <c r="R2" t="s">
        <v>106</v>
      </c>
      <c r="S2" t="s">
        <v>106</v>
      </c>
      <c r="T2" t="s">
        <v>106</v>
      </c>
      <c r="U2" t="s">
        <v>106</v>
      </c>
      <c r="V2" t="s">
        <v>106</v>
      </c>
      <c r="W2" s="15" t="s">
        <v>106</v>
      </c>
      <c r="X2">
        <v>1</v>
      </c>
      <c r="Y2">
        <v>0</v>
      </c>
      <c r="Z2" t="s">
        <v>106</v>
      </c>
      <c r="AA2" t="s">
        <v>106</v>
      </c>
      <c r="AB2" t="s">
        <v>106</v>
      </c>
      <c r="AC2">
        <v>1</v>
      </c>
      <c r="AD2">
        <v>1</v>
      </c>
      <c r="AE2" t="s">
        <v>107</v>
      </c>
    </row>
    <row r="3" spans="1:31" ht="17" x14ac:dyDescent="0.2">
      <c r="A3">
        <v>2</v>
      </c>
      <c r="B3">
        <v>1</v>
      </c>
      <c r="C3">
        <v>1</v>
      </c>
      <c r="D3">
        <v>1</v>
      </c>
      <c r="E3">
        <v>1</v>
      </c>
      <c r="F3" s="15" t="s">
        <v>108</v>
      </c>
      <c r="G3">
        <v>1</v>
      </c>
      <c r="H3">
        <v>1</v>
      </c>
      <c r="I3">
        <v>0</v>
      </c>
      <c r="J3">
        <v>1</v>
      </c>
      <c r="K3" t="s">
        <v>106</v>
      </c>
      <c r="L3">
        <v>1</v>
      </c>
      <c r="M3">
        <v>1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 t="s">
        <v>106</v>
      </c>
      <c r="T3" t="s">
        <v>106</v>
      </c>
      <c r="U3" t="s">
        <v>106</v>
      </c>
      <c r="V3" t="s">
        <v>106</v>
      </c>
      <c r="W3" s="15" t="s">
        <v>106</v>
      </c>
      <c r="X3" t="s">
        <v>106</v>
      </c>
      <c r="Y3">
        <v>0</v>
      </c>
      <c r="Z3" t="s">
        <v>106</v>
      </c>
      <c r="AA3" t="s">
        <v>106</v>
      </c>
      <c r="AB3" t="s">
        <v>106</v>
      </c>
      <c r="AC3">
        <v>1</v>
      </c>
      <c r="AD3">
        <v>1</v>
      </c>
      <c r="AE3" t="s">
        <v>109</v>
      </c>
    </row>
    <row r="4" spans="1:31" ht="17" x14ac:dyDescent="0.2">
      <c r="A4">
        <v>3</v>
      </c>
      <c r="B4">
        <v>1</v>
      </c>
      <c r="C4">
        <v>1</v>
      </c>
      <c r="D4">
        <v>1</v>
      </c>
      <c r="E4">
        <v>0</v>
      </c>
      <c r="F4" s="15" t="s">
        <v>110</v>
      </c>
      <c r="G4">
        <v>0</v>
      </c>
      <c r="H4">
        <v>1</v>
      </c>
      <c r="I4" t="s">
        <v>106</v>
      </c>
      <c r="J4" t="s">
        <v>106</v>
      </c>
      <c r="K4" t="s">
        <v>106</v>
      </c>
      <c r="L4">
        <v>1</v>
      </c>
      <c r="M4" t="s">
        <v>106</v>
      </c>
      <c r="N4" t="s">
        <v>106</v>
      </c>
      <c r="O4" t="s">
        <v>106</v>
      </c>
      <c r="P4" t="s">
        <v>106</v>
      </c>
      <c r="Q4" t="s">
        <v>106</v>
      </c>
      <c r="R4" t="s">
        <v>106</v>
      </c>
      <c r="S4" t="s">
        <v>106</v>
      </c>
      <c r="T4" t="s">
        <v>106</v>
      </c>
      <c r="U4" t="s">
        <v>106</v>
      </c>
      <c r="V4" t="s">
        <v>106</v>
      </c>
      <c r="W4" s="15" t="s">
        <v>106</v>
      </c>
      <c r="X4" t="s">
        <v>106</v>
      </c>
      <c r="Y4" t="s">
        <v>106</v>
      </c>
      <c r="Z4" t="s">
        <v>106</v>
      </c>
      <c r="AA4" t="s">
        <v>106</v>
      </c>
      <c r="AB4" t="s">
        <v>106</v>
      </c>
      <c r="AC4">
        <v>0</v>
      </c>
      <c r="AD4">
        <v>1</v>
      </c>
      <c r="AE4" t="s">
        <v>111</v>
      </c>
    </row>
    <row r="5" spans="1:31" ht="17" x14ac:dyDescent="0.2">
      <c r="A5">
        <v>4</v>
      </c>
      <c r="B5">
        <v>0</v>
      </c>
      <c r="C5" t="s">
        <v>106</v>
      </c>
      <c r="D5" t="s">
        <v>106</v>
      </c>
      <c r="E5" t="s">
        <v>106</v>
      </c>
      <c r="F5" s="15" t="s">
        <v>112</v>
      </c>
      <c r="G5" t="s">
        <v>106</v>
      </c>
      <c r="H5">
        <v>0</v>
      </c>
      <c r="I5">
        <v>0</v>
      </c>
      <c r="J5" t="s">
        <v>106</v>
      </c>
      <c r="K5" t="s">
        <v>106</v>
      </c>
      <c r="L5">
        <v>1</v>
      </c>
      <c r="M5" t="s">
        <v>106</v>
      </c>
      <c r="N5" t="s">
        <v>106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 t="s">
        <v>106</v>
      </c>
      <c r="W5" s="15" t="s">
        <v>106</v>
      </c>
      <c r="X5" t="s">
        <v>106</v>
      </c>
      <c r="Y5" t="s">
        <v>106</v>
      </c>
      <c r="Z5" t="s">
        <v>106</v>
      </c>
      <c r="AA5" t="s">
        <v>106</v>
      </c>
      <c r="AB5" t="s">
        <v>106</v>
      </c>
      <c r="AC5">
        <v>1</v>
      </c>
      <c r="AD5">
        <v>0</v>
      </c>
      <c r="AE5" t="s">
        <v>113</v>
      </c>
    </row>
    <row r="6" spans="1:31" ht="34" x14ac:dyDescent="0.2">
      <c r="A6">
        <v>5</v>
      </c>
      <c r="B6" s="5">
        <v>1</v>
      </c>
      <c r="C6" s="5">
        <v>0</v>
      </c>
      <c r="D6" s="5">
        <v>0</v>
      </c>
      <c r="E6" t="s">
        <v>106</v>
      </c>
      <c r="F6" s="16" t="s">
        <v>114</v>
      </c>
      <c r="G6" t="s">
        <v>106</v>
      </c>
      <c r="H6" t="s">
        <v>106</v>
      </c>
      <c r="I6" t="s">
        <v>106</v>
      </c>
      <c r="J6" t="s">
        <v>106</v>
      </c>
      <c r="K6" s="5" t="s">
        <v>106</v>
      </c>
      <c r="L6" s="5" t="s">
        <v>106</v>
      </c>
      <c r="M6" s="5" t="s">
        <v>106</v>
      </c>
      <c r="N6" s="5" t="s">
        <v>106</v>
      </c>
      <c r="O6" s="5">
        <v>0</v>
      </c>
      <c r="P6" t="s">
        <v>106</v>
      </c>
      <c r="Q6" t="s">
        <v>106</v>
      </c>
      <c r="R6" t="s">
        <v>106</v>
      </c>
      <c r="S6" t="s">
        <v>106</v>
      </c>
      <c r="T6" t="s">
        <v>106</v>
      </c>
      <c r="U6" t="s">
        <v>106</v>
      </c>
      <c r="V6" t="s">
        <v>106</v>
      </c>
      <c r="W6" s="16" t="s">
        <v>106</v>
      </c>
      <c r="X6">
        <v>0</v>
      </c>
      <c r="Y6" t="s">
        <v>106</v>
      </c>
      <c r="Z6" s="5" t="s">
        <v>106</v>
      </c>
      <c r="AA6" s="5" t="s">
        <v>106</v>
      </c>
      <c r="AB6" s="5" t="s">
        <v>106</v>
      </c>
      <c r="AC6">
        <v>1</v>
      </c>
      <c r="AD6">
        <v>0</v>
      </c>
      <c r="AE6" s="5" t="s">
        <v>115</v>
      </c>
    </row>
    <row r="7" spans="1:31" ht="17" x14ac:dyDescent="0.2">
      <c r="A7">
        <v>6</v>
      </c>
      <c r="B7" s="5">
        <v>1</v>
      </c>
      <c r="C7" s="5">
        <v>1</v>
      </c>
      <c r="D7" s="5" t="s">
        <v>106</v>
      </c>
      <c r="E7" s="5">
        <v>1</v>
      </c>
      <c r="F7" s="16" t="s">
        <v>116</v>
      </c>
      <c r="G7" s="5">
        <v>1</v>
      </c>
      <c r="H7">
        <v>0</v>
      </c>
      <c r="I7" t="s">
        <v>106</v>
      </c>
      <c r="J7" t="s">
        <v>106</v>
      </c>
      <c r="K7" s="5" t="s">
        <v>106</v>
      </c>
      <c r="L7" s="5" t="s">
        <v>106</v>
      </c>
      <c r="M7" s="5" t="s">
        <v>106</v>
      </c>
      <c r="N7">
        <v>1</v>
      </c>
      <c r="O7" s="5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s="16" t="s">
        <v>106</v>
      </c>
      <c r="X7" s="5" t="s">
        <v>106</v>
      </c>
      <c r="Y7">
        <v>0</v>
      </c>
      <c r="Z7" s="5" t="s">
        <v>106</v>
      </c>
      <c r="AA7" s="5" t="s">
        <v>106</v>
      </c>
      <c r="AB7" s="5" t="s">
        <v>106</v>
      </c>
      <c r="AC7">
        <v>1</v>
      </c>
      <c r="AD7">
        <v>1</v>
      </c>
      <c r="AE7" s="5" t="s">
        <v>117</v>
      </c>
    </row>
    <row r="8" spans="1:31" ht="17" x14ac:dyDescent="0.2">
      <c r="A8">
        <v>7</v>
      </c>
      <c r="B8" s="5">
        <v>1</v>
      </c>
      <c r="C8" s="5">
        <v>1</v>
      </c>
      <c r="D8" s="5">
        <v>0</v>
      </c>
      <c r="E8" s="5">
        <v>0</v>
      </c>
      <c r="F8" s="16" t="s">
        <v>118</v>
      </c>
      <c r="G8" s="5">
        <v>1</v>
      </c>
      <c r="H8" t="s">
        <v>106</v>
      </c>
      <c r="I8" t="s">
        <v>106</v>
      </c>
      <c r="J8" t="s">
        <v>106</v>
      </c>
      <c r="K8" s="5" t="s">
        <v>106</v>
      </c>
      <c r="L8" s="5" t="s">
        <v>106</v>
      </c>
      <c r="M8" s="5" t="s">
        <v>106</v>
      </c>
      <c r="N8">
        <v>1</v>
      </c>
      <c r="O8">
        <v>1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>
        <v>0</v>
      </c>
      <c r="W8" s="16" t="s">
        <v>106</v>
      </c>
      <c r="X8" s="5" t="s">
        <v>106</v>
      </c>
      <c r="Y8" t="s">
        <v>106</v>
      </c>
      <c r="Z8" s="5" t="s">
        <v>106</v>
      </c>
      <c r="AA8" s="5" t="s">
        <v>106</v>
      </c>
      <c r="AB8" s="5" t="s">
        <v>106</v>
      </c>
      <c r="AC8">
        <v>1</v>
      </c>
      <c r="AD8">
        <v>1</v>
      </c>
      <c r="AE8" s="5" t="s">
        <v>119</v>
      </c>
    </row>
    <row r="9" spans="1:31" ht="17" x14ac:dyDescent="0.2">
      <c r="A9">
        <v>8</v>
      </c>
      <c r="B9" s="5">
        <v>1</v>
      </c>
      <c r="C9" s="5">
        <v>1</v>
      </c>
      <c r="D9" s="5">
        <v>0</v>
      </c>
      <c r="E9" s="5">
        <v>0</v>
      </c>
      <c r="F9" s="16" t="s">
        <v>120</v>
      </c>
      <c r="G9" s="5">
        <v>0</v>
      </c>
      <c r="H9" t="s">
        <v>106</v>
      </c>
      <c r="I9" t="s">
        <v>106</v>
      </c>
      <c r="J9" t="s">
        <v>106</v>
      </c>
      <c r="K9">
        <v>0</v>
      </c>
      <c r="L9">
        <v>0</v>
      </c>
      <c r="M9" s="5" t="s">
        <v>106</v>
      </c>
      <c r="N9" s="5" t="s">
        <v>106</v>
      </c>
      <c r="O9" s="5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s="5" t="s">
        <v>106</v>
      </c>
      <c r="W9" s="16" t="s">
        <v>106</v>
      </c>
      <c r="X9" s="5" t="s">
        <v>106</v>
      </c>
      <c r="Y9" s="5" t="s">
        <v>106</v>
      </c>
      <c r="Z9" s="5" t="s">
        <v>106</v>
      </c>
      <c r="AA9" s="5" t="s">
        <v>106</v>
      </c>
      <c r="AB9" s="5" t="s">
        <v>106</v>
      </c>
      <c r="AC9">
        <v>1</v>
      </c>
      <c r="AD9">
        <v>0</v>
      </c>
      <c r="AE9" s="5" t="s">
        <v>121</v>
      </c>
    </row>
    <row r="10" spans="1:31" ht="17" x14ac:dyDescent="0.2">
      <c r="A10">
        <v>9</v>
      </c>
      <c r="B10" s="5">
        <v>1</v>
      </c>
      <c r="C10" s="5">
        <v>1</v>
      </c>
      <c r="D10" s="5">
        <v>0</v>
      </c>
      <c r="E10" s="5">
        <v>0</v>
      </c>
      <c r="F10" s="16" t="s">
        <v>122</v>
      </c>
      <c r="G10">
        <v>0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s="5" t="s">
        <v>106</v>
      </c>
      <c r="N10" s="5" t="s">
        <v>106</v>
      </c>
      <c r="O10" s="5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 s="5" t="s">
        <v>106</v>
      </c>
      <c r="W10" s="16" t="s">
        <v>106</v>
      </c>
      <c r="X10" s="5" t="s">
        <v>106</v>
      </c>
      <c r="Y10" s="5" t="s">
        <v>106</v>
      </c>
      <c r="Z10" s="5" t="s">
        <v>106</v>
      </c>
      <c r="AA10" s="5" t="s">
        <v>106</v>
      </c>
      <c r="AB10" s="5" t="s">
        <v>106</v>
      </c>
      <c r="AC10">
        <v>1</v>
      </c>
      <c r="AD10">
        <v>0</v>
      </c>
      <c r="AE10" s="5" t="s">
        <v>123</v>
      </c>
    </row>
    <row r="11" spans="1:31" ht="17" x14ac:dyDescent="0.2">
      <c r="A11">
        <v>10</v>
      </c>
      <c r="B11" s="5">
        <v>1</v>
      </c>
      <c r="C11" s="5">
        <v>1</v>
      </c>
      <c r="D11" s="5">
        <v>1</v>
      </c>
      <c r="E11" s="5">
        <v>1</v>
      </c>
      <c r="F11" s="16" t="s">
        <v>124</v>
      </c>
      <c r="G11" s="5">
        <v>1</v>
      </c>
      <c r="H11" s="5">
        <v>1</v>
      </c>
      <c r="I11" s="5">
        <v>1</v>
      </c>
      <c r="J11" t="s">
        <v>106</v>
      </c>
      <c r="K11" t="s">
        <v>106</v>
      </c>
      <c r="L11" t="s">
        <v>106</v>
      </c>
      <c r="M11" s="5" t="s">
        <v>106</v>
      </c>
      <c r="N11" s="5" t="s">
        <v>106</v>
      </c>
      <c r="O11" s="5" t="s">
        <v>106</v>
      </c>
      <c r="P11" t="s">
        <v>106</v>
      </c>
      <c r="Q11" t="s">
        <v>106</v>
      </c>
      <c r="R11" t="s">
        <v>106</v>
      </c>
      <c r="S11" t="s">
        <v>106</v>
      </c>
      <c r="T11" t="s">
        <v>106</v>
      </c>
      <c r="U11" t="s">
        <v>106</v>
      </c>
      <c r="V11">
        <v>1</v>
      </c>
      <c r="W11" s="16" t="s">
        <v>106</v>
      </c>
      <c r="X11">
        <v>1</v>
      </c>
      <c r="Y11" s="5" t="s">
        <v>106</v>
      </c>
      <c r="Z11" s="5" t="s">
        <v>106</v>
      </c>
      <c r="AA11" s="5" t="s">
        <v>106</v>
      </c>
      <c r="AB11" s="5" t="s">
        <v>106</v>
      </c>
      <c r="AC11">
        <v>1</v>
      </c>
      <c r="AD11">
        <v>1</v>
      </c>
      <c r="AE11" s="5" t="s">
        <v>125</v>
      </c>
    </row>
    <row r="12" spans="1:31" ht="17" x14ac:dyDescent="0.2">
      <c r="A12">
        <v>11</v>
      </c>
      <c r="B12" s="5">
        <v>1</v>
      </c>
      <c r="C12" s="5">
        <v>1</v>
      </c>
      <c r="D12" s="5">
        <v>0</v>
      </c>
      <c r="E12" s="5">
        <v>1</v>
      </c>
      <c r="F12" s="16" t="s">
        <v>126</v>
      </c>
      <c r="G12">
        <v>1</v>
      </c>
      <c r="H12">
        <v>1</v>
      </c>
      <c r="I12" s="5" t="s">
        <v>106</v>
      </c>
      <c r="J12" t="s">
        <v>106</v>
      </c>
      <c r="K12" t="s">
        <v>106</v>
      </c>
      <c r="L12" t="s">
        <v>106</v>
      </c>
      <c r="M12" s="5" t="s">
        <v>106</v>
      </c>
      <c r="N12" s="5" t="s">
        <v>106</v>
      </c>
      <c r="O12" s="5" t="s">
        <v>106</v>
      </c>
      <c r="P12" t="s">
        <v>106</v>
      </c>
      <c r="Q12" t="s">
        <v>106</v>
      </c>
      <c r="R12" t="s">
        <v>106</v>
      </c>
      <c r="S12" t="s">
        <v>106</v>
      </c>
      <c r="T12" t="s">
        <v>106</v>
      </c>
      <c r="U12" t="s">
        <v>106</v>
      </c>
      <c r="V12" s="5" t="s">
        <v>106</v>
      </c>
      <c r="W12" s="16" t="s">
        <v>106</v>
      </c>
      <c r="X12">
        <v>1</v>
      </c>
      <c r="Y12" s="5" t="s">
        <v>106</v>
      </c>
      <c r="Z12" s="5" t="s">
        <v>106</v>
      </c>
      <c r="AA12" s="5" t="s">
        <v>106</v>
      </c>
      <c r="AB12" s="5" t="s">
        <v>106</v>
      </c>
      <c r="AC12">
        <v>1</v>
      </c>
      <c r="AD12">
        <v>0</v>
      </c>
      <c r="AE12" s="5" t="s">
        <v>127</v>
      </c>
    </row>
    <row r="13" spans="1:31" ht="17" x14ac:dyDescent="0.2">
      <c r="A13">
        <v>12</v>
      </c>
      <c r="B13" s="5">
        <v>1</v>
      </c>
      <c r="C13" s="5">
        <v>1</v>
      </c>
      <c r="D13" s="5">
        <v>0</v>
      </c>
      <c r="E13" s="5">
        <v>0</v>
      </c>
      <c r="F13" s="16" t="s">
        <v>128</v>
      </c>
      <c r="G13" s="5">
        <v>0</v>
      </c>
      <c r="H13" s="5">
        <v>0</v>
      </c>
      <c r="I13" s="5" t="s">
        <v>106</v>
      </c>
      <c r="J13" t="s">
        <v>106</v>
      </c>
      <c r="K13" t="s">
        <v>106</v>
      </c>
      <c r="L13" t="s">
        <v>106</v>
      </c>
      <c r="M13" s="5" t="s">
        <v>106</v>
      </c>
      <c r="N13" s="5" t="s">
        <v>106</v>
      </c>
      <c r="O13" s="5" t="s">
        <v>106</v>
      </c>
      <c r="P13" t="s">
        <v>106</v>
      </c>
      <c r="Q13" t="s">
        <v>106</v>
      </c>
      <c r="R13" t="s">
        <v>106</v>
      </c>
      <c r="S13" t="s">
        <v>106</v>
      </c>
      <c r="T13" t="s">
        <v>106</v>
      </c>
      <c r="U13" t="s">
        <v>106</v>
      </c>
      <c r="V13" s="5" t="s">
        <v>106</v>
      </c>
      <c r="W13" s="16" t="s">
        <v>106</v>
      </c>
      <c r="X13" s="5" t="s">
        <v>106</v>
      </c>
      <c r="Y13" s="5" t="s">
        <v>106</v>
      </c>
      <c r="Z13" s="5" t="s">
        <v>106</v>
      </c>
      <c r="AA13" s="5" t="s">
        <v>106</v>
      </c>
      <c r="AB13" s="5" t="s">
        <v>106</v>
      </c>
      <c r="AC13">
        <v>1</v>
      </c>
      <c r="AD13">
        <v>0</v>
      </c>
      <c r="AE13" s="5" t="s">
        <v>129</v>
      </c>
    </row>
    <row r="14" spans="1:31" ht="17" x14ac:dyDescent="0.2">
      <c r="A14">
        <v>13</v>
      </c>
      <c r="B14" s="5">
        <v>1</v>
      </c>
      <c r="C14" s="5">
        <v>1</v>
      </c>
      <c r="D14" s="5">
        <v>0</v>
      </c>
      <c r="E14" s="5">
        <v>0</v>
      </c>
      <c r="F14" s="16" t="s">
        <v>130</v>
      </c>
      <c r="G14" s="5" t="s">
        <v>106</v>
      </c>
      <c r="H14" s="5">
        <v>0</v>
      </c>
      <c r="I14" s="5">
        <v>1</v>
      </c>
      <c r="J14" s="5">
        <v>1</v>
      </c>
      <c r="K14" t="s">
        <v>106</v>
      </c>
      <c r="L14" t="s">
        <v>106</v>
      </c>
      <c r="M14" s="5" t="s">
        <v>106</v>
      </c>
      <c r="N14" s="5" t="s">
        <v>106</v>
      </c>
      <c r="O14" s="5" t="s">
        <v>106</v>
      </c>
      <c r="P14" t="s">
        <v>106</v>
      </c>
      <c r="Q14" t="s">
        <v>106</v>
      </c>
      <c r="R14" t="s">
        <v>106</v>
      </c>
      <c r="S14" t="s">
        <v>106</v>
      </c>
      <c r="T14" t="s">
        <v>106</v>
      </c>
      <c r="U14" t="s">
        <v>106</v>
      </c>
      <c r="V14">
        <v>1</v>
      </c>
      <c r="W14" s="16" t="s">
        <v>131</v>
      </c>
      <c r="X14">
        <v>0</v>
      </c>
      <c r="Y14">
        <v>0</v>
      </c>
      <c r="Z14">
        <v>0</v>
      </c>
      <c r="AA14">
        <v>1</v>
      </c>
      <c r="AB14" t="s">
        <v>132</v>
      </c>
      <c r="AC14">
        <v>1</v>
      </c>
      <c r="AD14">
        <v>0</v>
      </c>
      <c r="AE14" s="5" t="s">
        <v>133</v>
      </c>
    </row>
    <row r="15" spans="1:31" ht="17" x14ac:dyDescent="0.2">
      <c r="A15">
        <v>14</v>
      </c>
      <c r="B15" s="5">
        <v>1</v>
      </c>
      <c r="C15" s="5">
        <v>1</v>
      </c>
      <c r="D15" s="5">
        <v>1</v>
      </c>
      <c r="E15" s="5">
        <v>0</v>
      </c>
      <c r="F15" s="16" t="s">
        <v>134</v>
      </c>
      <c r="G15" s="5">
        <v>0</v>
      </c>
      <c r="H15" s="5">
        <v>1</v>
      </c>
      <c r="I15" s="5">
        <v>0</v>
      </c>
      <c r="J15" s="5">
        <v>0</v>
      </c>
      <c r="K15" t="s">
        <v>106</v>
      </c>
      <c r="L15" t="s">
        <v>106</v>
      </c>
      <c r="M15" s="5" t="s">
        <v>106</v>
      </c>
      <c r="N15" s="5" t="s">
        <v>106</v>
      </c>
      <c r="O15" s="5" t="s">
        <v>106</v>
      </c>
      <c r="P15" t="s">
        <v>106</v>
      </c>
      <c r="Q15" t="s">
        <v>106</v>
      </c>
      <c r="R15" t="s">
        <v>106</v>
      </c>
      <c r="S15" t="s">
        <v>106</v>
      </c>
      <c r="T15" t="s">
        <v>106</v>
      </c>
      <c r="U15" t="s">
        <v>106</v>
      </c>
      <c r="V15">
        <v>0</v>
      </c>
      <c r="W15" s="16" t="s">
        <v>135</v>
      </c>
      <c r="X15">
        <v>0</v>
      </c>
      <c r="Y15">
        <v>0</v>
      </c>
      <c r="Z15">
        <v>1</v>
      </c>
      <c r="AA15">
        <v>0</v>
      </c>
      <c r="AB15" t="s">
        <v>132</v>
      </c>
      <c r="AC15">
        <v>1</v>
      </c>
      <c r="AD15">
        <v>1</v>
      </c>
    </row>
    <row r="16" spans="1:31" ht="51" x14ac:dyDescent="0.2">
      <c r="A16">
        <v>15</v>
      </c>
      <c r="B16" s="5">
        <v>0</v>
      </c>
      <c r="C16" s="5">
        <v>1</v>
      </c>
      <c r="D16" s="5">
        <v>1</v>
      </c>
      <c r="E16" s="5">
        <v>1</v>
      </c>
      <c r="F16" s="16" t="s">
        <v>136</v>
      </c>
      <c r="G16" s="5">
        <v>0</v>
      </c>
      <c r="H16">
        <v>1</v>
      </c>
      <c r="I16" s="5">
        <v>1</v>
      </c>
      <c r="J16" s="5">
        <v>1</v>
      </c>
      <c r="K16" t="s">
        <v>106</v>
      </c>
      <c r="L16" t="s">
        <v>106</v>
      </c>
      <c r="M16" s="5" t="s">
        <v>106</v>
      </c>
      <c r="N16" s="5" t="s">
        <v>106</v>
      </c>
      <c r="O16" s="5" t="s">
        <v>106</v>
      </c>
      <c r="P16" t="s">
        <v>106</v>
      </c>
      <c r="Q16" t="s">
        <v>106</v>
      </c>
      <c r="R16" t="s">
        <v>106</v>
      </c>
      <c r="S16" t="s">
        <v>106</v>
      </c>
      <c r="T16" t="s">
        <v>106</v>
      </c>
      <c r="U16" t="s">
        <v>106</v>
      </c>
      <c r="V16" s="5">
        <v>0</v>
      </c>
      <c r="W16" s="16" t="s">
        <v>137</v>
      </c>
      <c r="X16">
        <v>1</v>
      </c>
      <c r="Y16">
        <v>0</v>
      </c>
      <c r="Z16">
        <v>0</v>
      </c>
      <c r="AA16">
        <v>1</v>
      </c>
      <c r="AB16" t="s">
        <v>132</v>
      </c>
      <c r="AC16">
        <v>0</v>
      </c>
      <c r="AD16">
        <v>1</v>
      </c>
      <c r="AE16" t="s">
        <v>138</v>
      </c>
    </row>
    <row r="17" spans="1:31" ht="17" x14ac:dyDescent="0.2">
      <c r="A17">
        <v>16</v>
      </c>
      <c r="B17" s="5">
        <v>1</v>
      </c>
      <c r="C17" s="5">
        <v>1</v>
      </c>
      <c r="D17" s="5">
        <v>0</v>
      </c>
      <c r="E17" s="5">
        <v>0</v>
      </c>
      <c r="F17" s="15" t="s">
        <v>139</v>
      </c>
      <c r="G17" s="5">
        <v>0</v>
      </c>
      <c r="H17" t="s">
        <v>106</v>
      </c>
      <c r="I17" s="5">
        <v>0</v>
      </c>
      <c r="J17" t="s">
        <v>106</v>
      </c>
      <c r="K17" t="s">
        <v>106</v>
      </c>
      <c r="L17" t="s">
        <v>106</v>
      </c>
      <c r="M17" s="5" t="s">
        <v>106</v>
      </c>
      <c r="N17" s="5" t="s">
        <v>106</v>
      </c>
      <c r="O17" s="5" t="s">
        <v>106</v>
      </c>
      <c r="P17" t="s">
        <v>106</v>
      </c>
      <c r="Q17" t="s">
        <v>106</v>
      </c>
      <c r="R17" t="s">
        <v>106</v>
      </c>
      <c r="S17" t="s">
        <v>106</v>
      </c>
      <c r="T17" t="s">
        <v>106</v>
      </c>
      <c r="U17" t="s">
        <v>106</v>
      </c>
      <c r="V17" s="5">
        <v>0</v>
      </c>
      <c r="W17" s="16" t="s">
        <v>140</v>
      </c>
      <c r="X17">
        <v>0</v>
      </c>
      <c r="Y17">
        <v>0</v>
      </c>
      <c r="Z17">
        <v>0</v>
      </c>
      <c r="AA17">
        <v>0</v>
      </c>
      <c r="AB17" t="s">
        <v>106</v>
      </c>
      <c r="AC17">
        <v>1</v>
      </c>
      <c r="AD17">
        <v>0</v>
      </c>
      <c r="AE17" t="s">
        <v>141</v>
      </c>
    </row>
    <row r="18" spans="1:31" ht="17" x14ac:dyDescent="0.2">
      <c r="A18">
        <v>17</v>
      </c>
      <c r="B18" s="5">
        <v>1</v>
      </c>
      <c r="C18" s="5">
        <v>1</v>
      </c>
      <c r="D18" t="s">
        <v>106</v>
      </c>
      <c r="E18" s="5">
        <v>1</v>
      </c>
      <c r="F18" s="15" t="s">
        <v>142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t="s">
        <v>106</v>
      </c>
      <c r="M18" s="5" t="s">
        <v>106</v>
      </c>
      <c r="N18" s="5" t="s">
        <v>106</v>
      </c>
      <c r="O18" s="5" t="s">
        <v>106</v>
      </c>
      <c r="P18" t="s">
        <v>106</v>
      </c>
      <c r="Q18" t="s">
        <v>106</v>
      </c>
      <c r="R18" t="s">
        <v>106</v>
      </c>
      <c r="S18" t="s">
        <v>106</v>
      </c>
      <c r="T18" t="s">
        <v>106</v>
      </c>
      <c r="U18" t="s">
        <v>106</v>
      </c>
      <c r="V18" s="5">
        <v>0</v>
      </c>
      <c r="W18" s="16" t="s">
        <v>143</v>
      </c>
      <c r="X18">
        <v>1</v>
      </c>
      <c r="Y18">
        <v>0</v>
      </c>
      <c r="Z18">
        <v>0</v>
      </c>
      <c r="AA18" t="s">
        <v>106</v>
      </c>
      <c r="AB18" t="s">
        <v>132</v>
      </c>
      <c r="AC18">
        <v>1</v>
      </c>
      <c r="AD18">
        <v>0</v>
      </c>
      <c r="AE18" t="s">
        <v>144</v>
      </c>
    </row>
    <row r="19" spans="1:31" ht="17" x14ac:dyDescent="0.2">
      <c r="A19">
        <v>18</v>
      </c>
      <c r="B19">
        <v>1</v>
      </c>
      <c r="C19" s="5">
        <v>0</v>
      </c>
      <c r="D19" s="5">
        <v>0</v>
      </c>
      <c r="E19" s="5">
        <v>0</v>
      </c>
      <c r="F19" s="15" t="s">
        <v>145</v>
      </c>
      <c r="G19" s="5">
        <v>0</v>
      </c>
      <c r="H19" t="s">
        <v>106</v>
      </c>
      <c r="I19" t="s">
        <v>106</v>
      </c>
      <c r="J19" t="s">
        <v>106</v>
      </c>
      <c r="K19" s="5" t="s">
        <v>106</v>
      </c>
      <c r="L19" s="5" t="s">
        <v>106</v>
      </c>
      <c r="M19" s="5" t="s">
        <v>106</v>
      </c>
      <c r="N19" s="5" t="s">
        <v>106</v>
      </c>
      <c r="O19" s="5" t="s">
        <v>106</v>
      </c>
      <c r="P19" t="s">
        <v>106</v>
      </c>
      <c r="Q19" t="s">
        <v>106</v>
      </c>
      <c r="R19" t="s">
        <v>106</v>
      </c>
      <c r="S19" t="s">
        <v>106</v>
      </c>
      <c r="T19" t="s">
        <v>106</v>
      </c>
      <c r="U19" t="s">
        <v>106</v>
      </c>
      <c r="V19" s="5">
        <v>0</v>
      </c>
      <c r="W19" s="16" t="s">
        <v>146</v>
      </c>
      <c r="X19">
        <v>0</v>
      </c>
      <c r="Y19" t="s">
        <v>106</v>
      </c>
      <c r="Z19">
        <v>0</v>
      </c>
      <c r="AA19">
        <v>0</v>
      </c>
      <c r="AB19" t="s">
        <v>106</v>
      </c>
      <c r="AC19">
        <v>1</v>
      </c>
      <c r="AD19">
        <v>1</v>
      </c>
      <c r="AE19" t="s">
        <v>147</v>
      </c>
    </row>
    <row r="20" spans="1:31" ht="17" x14ac:dyDescent="0.2">
      <c r="A20">
        <v>19</v>
      </c>
      <c r="B20" t="s">
        <v>106</v>
      </c>
      <c r="C20" s="5">
        <v>1</v>
      </c>
      <c r="D20" s="5">
        <v>1</v>
      </c>
      <c r="E20" s="5">
        <v>1</v>
      </c>
      <c r="F20" s="15" t="s">
        <v>148</v>
      </c>
      <c r="G20" s="5">
        <v>0</v>
      </c>
      <c r="H20" t="s">
        <v>106</v>
      </c>
      <c r="I20">
        <v>0</v>
      </c>
      <c r="J20" t="s">
        <v>106</v>
      </c>
      <c r="K20" s="5" t="s">
        <v>106</v>
      </c>
      <c r="L20">
        <v>1</v>
      </c>
      <c r="M20" t="s">
        <v>106</v>
      </c>
      <c r="N20" t="s">
        <v>106</v>
      </c>
      <c r="O20" s="5" t="s">
        <v>106</v>
      </c>
      <c r="P20" t="s">
        <v>106</v>
      </c>
      <c r="Q20">
        <v>1</v>
      </c>
      <c r="R20" t="s">
        <v>106</v>
      </c>
      <c r="S20" t="s">
        <v>106</v>
      </c>
      <c r="T20" t="s">
        <v>106</v>
      </c>
      <c r="U20" t="s">
        <v>106</v>
      </c>
      <c r="V20" s="5">
        <v>0</v>
      </c>
      <c r="W20" s="16" t="s">
        <v>149</v>
      </c>
      <c r="X20">
        <v>0</v>
      </c>
      <c r="Y20">
        <v>0</v>
      </c>
      <c r="Z20">
        <v>1</v>
      </c>
      <c r="AA20">
        <v>0</v>
      </c>
      <c r="AB20" t="s">
        <v>132</v>
      </c>
      <c r="AC20">
        <v>1</v>
      </c>
      <c r="AD20">
        <v>0</v>
      </c>
      <c r="AE20" t="s">
        <v>150</v>
      </c>
    </row>
    <row r="21" spans="1:31" ht="17" x14ac:dyDescent="0.2">
      <c r="A21">
        <v>20</v>
      </c>
      <c r="B21" t="s">
        <v>106</v>
      </c>
      <c r="C21" s="5">
        <v>1</v>
      </c>
      <c r="D21" s="5">
        <v>1</v>
      </c>
      <c r="E21" s="5">
        <v>0</v>
      </c>
      <c r="F21" s="15" t="s">
        <v>151</v>
      </c>
      <c r="G21" s="5">
        <v>0</v>
      </c>
      <c r="H21" s="5">
        <v>0</v>
      </c>
      <c r="I21" t="s">
        <v>106</v>
      </c>
      <c r="J21" t="s">
        <v>106</v>
      </c>
      <c r="K21" s="5" t="s">
        <v>106</v>
      </c>
      <c r="L21" s="5" t="s">
        <v>106</v>
      </c>
      <c r="M21" s="5" t="s">
        <v>106</v>
      </c>
      <c r="N21" s="5" t="s">
        <v>106</v>
      </c>
      <c r="O21" s="5" t="s">
        <v>106</v>
      </c>
      <c r="P21">
        <v>0</v>
      </c>
      <c r="Q21" t="s">
        <v>106</v>
      </c>
      <c r="R21" t="s">
        <v>106</v>
      </c>
      <c r="S21" t="s">
        <v>106</v>
      </c>
      <c r="T21" t="s">
        <v>106</v>
      </c>
      <c r="U21" t="s">
        <v>106</v>
      </c>
      <c r="V21" s="5">
        <v>0</v>
      </c>
      <c r="W21" s="16" t="s">
        <v>152</v>
      </c>
      <c r="X21">
        <v>0</v>
      </c>
      <c r="Y21">
        <v>1</v>
      </c>
      <c r="Z21">
        <v>1</v>
      </c>
      <c r="AA21">
        <v>1</v>
      </c>
      <c r="AB21" t="s">
        <v>132</v>
      </c>
      <c r="AC21">
        <v>1</v>
      </c>
      <c r="AD21">
        <v>1</v>
      </c>
      <c r="AE21" t="s">
        <v>153</v>
      </c>
    </row>
    <row r="22" spans="1:31" ht="34" x14ac:dyDescent="0.2">
      <c r="A22">
        <v>21</v>
      </c>
      <c r="B22">
        <v>0</v>
      </c>
      <c r="C22" s="5" t="s">
        <v>106</v>
      </c>
      <c r="D22" s="5" t="s">
        <v>106</v>
      </c>
      <c r="E22" s="5">
        <v>0</v>
      </c>
      <c r="F22" s="15" t="s">
        <v>154</v>
      </c>
      <c r="G22" t="s">
        <v>106</v>
      </c>
      <c r="H22" s="5" t="s">
        <v>106</v>
      </c>
      <c r="I22" s="5" t="s">
        <v>106</v>
      </c>
      <c r="J22" s="5" t="s">
        <v>106</v>
      </c>
      <c r="K22" s="5" t="s">
        <v>106</v>
      </c>
      <c r="L22">
        <v>0</v>
      </c>
      <c r="M22" s="5" t="s">
        <v>106</v>
      </c>
      <c r="N22" s="5" t="s">
        <v>106</v>
      </c>
      <c r="O22" s="5" t="s">
        <v>106</v>
      </c>
      <c r="P22" s="5" t="s">
        <v>106</v>
      </c>
      <c r="Q22" t="s">
        <v>106</v>
      </c>
      <c r="R22" t="s">
        <v>106</v>
      </c>
      <c r="S22" t="s">
        <v>106</v>
      </c>
      <c r="T22" t="s">
        <v>106</v>
      </c>
      <c r="U22" t="s">
        <v>106</v>
      </c>
      <c r="V22" s="5">
        <v>0</v>
      </c>
      <c r="W22" s="16" t="s">
        <v>155</v>
      </c>
      <c r="X22" s="5" t="s">
        <v>106</v>
      </c>
      <c r="Y22">
        <v>0</v>
      </c>
      <c r="Z22">
        <v>0</v>
      </c>
      <c r="AA22">
        <v>0</v>
      </c>
      <c r="AB22" t="s">
        <v>106</v>
      </c>
      <c r="AC22">
        <v>1</v>
      </c>
      <c r="AD22">
        <v>0</v>
      </c>
      <c r="AE22" t="s">
        <v>156</v>
      </c>
    </row>
    <row r="23" spans="1:31" ht="17" x14ac:dyDescent="0.2">
      <c r="A23">
        <v>22</v>
      </c>
      <c r="B23">
        <v>0</v>
      </c>
      <c r="C23" s="5">
        <v>1</v>
      </c>
      <c r="D23" s="5">
        <v>0</v>
      </c>
      <c r="E23" s="5">
        <v>1</v>
      </c>
      <c r="F23" s="15" t="s">
        <v>157</v>
      </c>
      <c r="G23" t="s">
        <v>106</v>
      </c>
      <c r="H23" s="5">
        <v>0</v>
      </c>
      <c r="I23" s="5" t="s">
        <v>106</v>
      </c>
      <c r="J23">
        <v>0</v>
      </c>
      <c r="K23" s="5" t="s">
        <v>106</v>
      </c>
      <c r="L23" s="5" t="s">
        <v>106</v>
      </c>
      <c r="M23" s="5" t="s">
        <v>106</v>
      </c>
      <c r="N23" s="5" t="s">
        <v>106</v>
      </c>
      <c r="O23" s="5" t="s">
        <v>106</v>
      </c>
      <c r="P23" s="5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s="5">
        <v>0</v>
      </c>
      <c r="W23" s="16" t="s">
        <v>158</v>
      </c>
      <c r="X23" s="5">
        <v>0</v>
      </c>
      <c r="Y23" s="5" t="s">
        <v>106</v>
      </c>
      <c r="Z23">
        <v>1</v>
      </c>
      <c r="AA23">
        <v>0</v>
      </c>
      <c r="AB23" t="s">
        <v>106</v>
      </c>
      <c r="AC23">
        <v>1</v>
      </c>
      <c r="AD23">
        <v>0</v>
      </c>
      <c r="AE23" t="s">
        <v>159</v>
      </c>
    </row>
    <row r="24" spans="1:31" ht="17" x14ac:dyDescent="0.2">
      <c r="A24">
        <v>23</v>
      </c>
      <c r="B24">
        <v>1</v>
      </c>
      <c r="C24" s="5">
        <v>1</v>
      </c>
      <c r="D24" s="5">
        <v>0</v>
      </c>
      <c r="E24" s="5">
        <v>1</v>
      </c>
      <c r="F24" s="15" t="s">
        <v>160</v>
      </c>
      <c r="G24" s="5">
        <v>0</v>
      </c>
      <c r="H24" s="5" t="s">
        <v>106</v>
      </c>
      <c r="I24" s="5" t="s">
        <v>106</v>
      </c>
      <c r="J24" s="5" t="s">
        <v>106</v>
      </c>
      <c r="K24" s="5" t="s">
        <v>106</v>
      </c>
      <c r="L24" s="5" t="s">
        <v>106</v>
      </c>
      <c r="M24" s="5" t="s">
        <v>106</v>
      </c>
      <c r="N24" s="5" t="s">
        <v>106</v>
      </c>
      <c r="O24" s="5" t="s">
        <v>106</v>
      </c>
      <c r="P24" s="5" t="s">
        <v>106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s="5">
        <v>0</v>
      </c>
      <c r="W24" s="16" t="s">
        <v>161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</row>
    <row r="25" spans="1:31" ht="17" x14ac:dyDescent="0.2">
      <c r="A25">
        <v>24</v>
      </c>
      <c r="B25">
        <v>1</v>
      </c>
      <c r="C25" s="5">
        <v>1</v>
      </c>
      <c r="D25" s="5">
        <v>0</v>
      </c>
      <c r="E25" s="5">
        <v>1</v>
      </c>
      <c r="F25" s="15" t="s">
        <v>162</v>
      </c>
      <c r="G25" s="5">
        <v>1</v>
      </c>
      <c r="H25" s="5">
        <v>1</v>
      </c>
      <c r="I25" s="5">
        <v>1</v>
      </c>
      <c r="J25" s="5" t="s">
        <v>106</v>
      </c>
      <c r="K25" s="5" t="s">
        <v>106</v>
      </c>
      <c r="L25" s="5" t="s">
        <v>106</v>
      </c>
      <c r="M25" s="5" t="s">
        <v>106</v>
      </c>
      <c r="N25" s="5" t="s">
        <v>106</v>
      </c>
      <c r="O25" s="5" t="s">
        <v>106</v>
      </c>
      <c r="P25" s="5" t="s">
        <v>106</v>
      </c>
      <c r="Q25" s="5" t="s">
        <v>106</v>
      </c>
      <c r="R25" s="5">
        <v>1</v>
      </c>
      <c r="S25" s="5">
        <v>1</v>
      </c>
      <c r="T25" s="5">
        <v>1</v>
      </c>
      <c r="U25" t="s">
        <v>106</v>
      </c>
      <c r="V25" s="5">
        <v>1</v>
      </c>
      <c r="W25" s="16" t="s">
        <v>163</v>
      </c>
      <c r="X25" s="5">
        <v>1</v>
      </c>
      <c r="Y25" s="5">
        <v>1</v>
      </c>
      <c r="Z25" s="5">
        <v>1</v>
      </c>
      <c r="AA25" s="5">
        <v>1</v>
      </c>
      <c r="AB25" s="5">
        <v>0</v>
      </c>
      <c r="AC25" s="5">
        <v>1</v>
      </c>
      <c r="AD25" s="5">
        <v>1</v>
      </c>
      <c r="AE25" t="s">
        <v>164</v>
      </c>
    </row>
    <row r="26" spans="1:31" ht="17" x14ac:dyDescent="0.2">
      <c r="A26">
        <v>25</v>
      </c>
      <c r="B26">
        <v>1</v>
      </c>
      <c r="C26" s="5">
        <v>1</v>
      </c>
      <c r="D26" s="5">
        <v>1</v>
      </c>
      <c r="E26" s="5">
        <v>1</v>
      </c>
      <c r="F26" s="15" t="s">
        <v>165</v>
      </c>
      <c r="G26" s="5">
        <v>1</v>
      </c>
      <c r="H26" s="5" t="s">
        <v>106</v>
      </c>
      <c r="I26" s="5" t="s">
        <v>106</v>
      </c>
      <c r="J26" s="5" t="s">
        <v>106</v>
      </c>
      <c r="K26">
        <v>1</v>
      </c>
      <c r="L26">
        <v>1</v>
      </c>
      <c r="M26" s="5" t="s">
        <v>106</v>
      </c>
      <c r="N26" s="5" t="s">
        <v>106</v>
      </c>
      <c r="O26" s="5" t="s">
        <v>106</v>
      </c>
      <c r="P26">
        <v>1</v>
      </c>
      <c r="Q26" s="5" t="s">
        <v>106</v>
      </c>
      <c r="R26" s="5" t="s">
        <v>106</v>
      </c>
      <c r="S26" s="5" t="s">
        <v>106</v>
      </c>
      <c r="T26" s="5" t="s">
        <v>106</v>
      </c>
      <c r="U26" s="5">
        <v>1</v>
      </c>
      <c r="V26" s="5">
        <v>0</v>
      </c>
      <c r="W26" s="16" t="s">
        <v>166</v>
      </c>
      <c r="X26" s="5">
        <v>1</v>
      </c>
      <c r="Y26" s="5">
        <v>1</v>
      </c>
      <c r="Z26" s="5">
        <v>1</v>
      </c>
      <c r="AA26" s="5">
        <v>1</v>
      </c>
      <c r="AB26" s="5" t="s">
        <v>106</v>
      </c>
      <c r="AC26" s="5">
        <v>1</v>
      </c>
      <c r="AD26" s="5">
        <v>1</v>
      </c>
      <c r="AE26" t="s">
        <v>167</v>
      </c>
    </row>
    <row r="27" spans="1:31" ht="34" x14ac:dyDescent="0.2">
      <c r="A27">
        <v>26</v>
      </c>
      <c r="B27">
        <v>1</v>
      </c>
      <c r="C27" s="5">
        <v>1</v>
      </c>
      <c r="D27" s="5">
        <v>1</v>
      </c>
      <c r="E27" s="5">
        <v>1</v>
      </c>
      <c r="F27" s="15" t="s">
        <v>168</v>
      </c>
      <c r="G27" s="5">
        <v>1</v>
      </c>
      <c r="H27" s="5" t="s">
        <v>106</v>
      </c>
      <c r="I27" s="5">
        <v>1</v>
      </c>
      <c r="J27" s="5">
        <v>1</v>
      </c>
      <c r="K27" s="5">
        <v>1</v>
      </c>
      <c r="L27" s="5">
        <v>1</v>
      </c>
      <c r="M27" s="5" t="s">
        <v>106</v>
      </c>
      <c r="N27" s="5" t="s">
        <v>106</v>
      </c>
      <c r="O27" s="5" t="s">
        <v>106</v>
      </c>
      <c r="P27" s="5" t="s">
        <v>106</v>
      </c>
      <c r="Q27" s="5" t="s">
        <v>106</v>
      </c>
      <c r="R27" s="5" t="s">
        <v>106</v>
      </c>
      <c r="S27" s="5" t="s">
        <v>106</v>
      </c>
      <c r="T27" s="5" t="s">
        <v>106</v>
      </c>
      <c r="U27" s="5">
        <v>0</v>
      </c>
      <c r="V27" s="5">
        <v>0</v>
      </c>
      <c r="W27" s="16" t="s">
        <v>169</v>
      </c>
      <c r="X27" s="5">
        <v>1</v>
      </c>
      <c r="Y27" s="5">
        <v>1</v>
      </c>
      <c r="Z27" s="5">
        <v>1</v>
      </c>
      <c r="AA27" s="5">
        <v>1</v>
      </c>
      <c r="AB27" s="5">
        <v>0</v>
      </c>
      <c r="AC27" s="5">
        <v>1</v>
      </c>
      <c r="AD27" s="5">
        <v>1</v>
      </c>
      <c r="AE27" t="s">
        <v>170</v>
      </c>
    </row>
    <row r="28" spans="1:31" ht="34" x14ac:dyDescent="0.2">
      <c r="A28">
        <v>27</v>
      </c>
      <c r="B28">
        <v>1</v>
      </c>
      <c r="C28" s="5">
        <v>1</v>
      </c>
      <c r="D28" s="5">
        <v>1</v>
      </c>
      <c r="E28" s="5">
        <v>1</v>
      </c>
      <c r="F28" s="15" t="s">
        <v>171</v>
      </c>
      <c r="G28" s="5">
        <v>1</v>
      </c>
      <c r="H28" s="5">
        <v>1</v>
      </c>
      <c r="I28" s="5">
        <v>1</v>
      </c>
      <c r="J28" s="5" t="s">
        <v>106</v>
      </c>
      <c r="K28" s="5">
        <v>0</v>
      </c>
      <c r="L28" s="5">
        <v>1</v>
      </c>
      <c r="M28" s="5" t="s">
        <v>106</v>
      </c>
      <c r="N28" s="5" t="s">
        <v>106</v>
      </c>
      <c r="O28" s="5" t="s">
        <v>106</v>
      </c>
      <c r="P28" s="5">
        <v>1</v>
      </c>
      <c r="Q28">
        <v>0</v>
      </c>
      <c r="R28" s="5" t="s">
        <v>106</v>
      </c>
      <c r="S28" s="5" t="s">
        <v>106</v>
      </c>
      <c r="T28" s="5" t="s">
        <v>106</v>
      </c>
      <c r="U28" s="5">
        <v>0</v>
      </c>
      <c r="V28" s="5">
        <v>1</v>
      </c>
      <c r="W28" s="16" t="s">
        <v>172</v>
      </c>
      <c r="X28" s="5">
        <v>0</v>
      </c>
      <c r="Y28" s="5">
        <v>0</v>
      </c>
      <c r="Z28" s="5">
        <v>1</v>
      </c>
      <c r="AA28" s="5">
        <v>1</v>
      </c>
      <c r="AB28" s="5">
        <v>0</v>
      </c>
      <c r="AC28" s="5">
        <v>1</v>
      </c>
      <c r="AD28" s="5">
        <v>1</v>
      </c>
    </row>
    <row r="29" spans="1:31" ht="17" x14ac:dyDescent="0.2">
      <c r="A29">
        <v>28</v>
      </c>
      <c r="B29">
        <v>1</v>
      </c>
      <c r="C29" s="5">
        <v>1</v>
      </c>
      <c r="D29" s="5">
        <v>0</v>
      </c>
      <c r="E29" s="5">
        <v>1</v>
      </c>
      <c r="F29" s="15" t="s">
        <v>173</v>
      </c>
      <c r="G29" s="5">
        <v>1</v>
      </c>
      <c r="H29" s="5">
        <v>1</v>
      </c>
      <c r="I29" t="s">
        <v>106</v>
      </c>
      <c r="J29" t="s">
        <v>106</v>
      </c>
      <c r="K29" t="s">
        <v>106</v>
      </c>
      <c r="L29" t="s">
        <v>106</v>
      </c>
      <c r="M29" s="5" t="s">
        <v>106</v>
      </c>
      <c r="N29" s="5" t="s">
        <v>106</v>
      </c>
      <c r="O29" s="5" t="s">
        <v>106</v>
      </c>
      <c r="P29" s="5" t="s">
        <v>106</v>
      </c>
      <c r="Q29">
        <v>1</v>
      </c>
      <c r="R29" s="5" t="s">
        <v>106</v>
      </c>
      <c r="S29" s="5">
        <v>1</v>
      </c>
      <c r="T29" s="5" t="s">
        <v>106</v>
      </c>
      <c r="U29" s="5" t="s">
        <v>106</v>
      </c>
      <c r="V29" s="5">
        <v>0</v>
      </c>
      <c r="W29" s="15" t="s">
        <v>174</v>
      </c>
      <c r="X29" s="5">
        <v>0</v>
      </c>
      <c r="Y29" s="5">
        <v>1</v>
      </c>
      <c r="Z29" s="5">
        <v>0</v>
      </c>
      <c r="AA29" s="5">
        <v>1</v>
      </c>
      <c r="AB29" s="5">
        <v>0</v>
      </c>
      <c r="AC29" s="5">
        <v>1</v>
      </c>
      <c r="AD29" s="5">
        <v>0</v>
      </c>
      <c r="AE29" t="s">
        <v>175</v>
      </c>
    </row>
    <row r="30" spans="1:31" ht="17" x14ac:dyDescent="0.2">
      <c r="A30">
        <v>29</v>
      </c>
      <c r="B30">
        <v>1</v>
      </c>
      <c r="C30" s="5">
        <v>1</v>
      </c>
      <c r="D30" s="5">
        <v>1</v>
      </c>
      <c r="E30" s="5">
        <v>1</v>
      </c>
      <c r="F30" s="15" t="s">
        <v>176</v>
      </c>
      <c r="G30" s="5">
        <v>1</v>
      </c>
      <c r="H30" s="5">
        <v>1</v>
      </c>
      <c r="I30" s="5">
        <v>1</v>
      </c>
      <c r="J30" s="5">
        <v>1</v>
      </c>
      <c r="K30" t="s">
        <v>106</v>
      </c>
      <c r="L30">
        <v>1</v>
      </c>
      <c r="M30" s="5" t="s">
        <v>106</v>
      </c>
      <c r="N30" s="5" t="s">
        <v>106</v>
      </c>
      <c r="O30" s="5" t="s">
        <v>106</v>
      </c>
      <c r="P30" s="5" t="s">
        <v>106</v>
      </c>
      <c r="Q30" s="5" t="s">
        <v>106</v>
      </c>
      <c r="R30" s="5" t="s">
        <v>106</v>
      </c>
      <c r="S30" s="5" t="s">
        <v>106</v>
      </c>
      <c r="T30" s="5" t="s">
        <v>106</v>
      </c>
      <c r="U30" s="5" t="s">
        <v>106</v>
      </c>
      <c r="V30" s="5">
        <v>1</v>
      </c>
      <c r="W30" s="15">
        <v>6</v>
      </c>
      <c r="X30" s="5">
        <v>1</v>
      </c>
      <c r="Y30" s="5">
        <v>1</v>
      </c>
      <c r="Z30" s="5">
        <v>1</v>
      </c>
      <c r="AA30" s="5">
        <v>0</v>
      </c>
      <c r="AB30" t="s">
        <v>106</v>
      </c>
      <c r="AC30" s="5">
        <v>1</v>
      </c>
      <c r="AD30" s="5">
        <v>1</v>
      </c>
      <c r="AE30" t="s">
        <v>177</v>
      </c>
    </row>
    <row r="31" spans="1:31" s="5" customFormat="1" ht="17" x14ac:dyDescent="0.2">
      <c r="A31" s="5">
        <v>30</v>
      </c>
      <c r="B31" s="5">
        <v>1</v>
      </c>
      <c r="C31" s="5">
        <v>1</v>
      </c>
      <c r="D31" s="5">
        <v>0</v>
      </c>
      <c r="E31" s="5">
        <v>1</v>
      </c>
      <c r="F31" s="16" t="s">
        <v>178</v>
      </c>
      <c r="G31" s="5">
        <v>1</v>
      </c>
      <c r="H31" s="5">
        <v>1</v>
      </c>
      <c r="I31" s="5" t="s">
        <v>106</v>
      </c>
      <c r="J31" s="5">
        <v>1</v>
      </c>
      <c r="K31" s="5" t="s">
        <v>106</v>
      </c>
      <c r="L31" s="5">
        <v>1</v>
      </c>
      <c r="M31" s="5" t="s">
        <v>106</v>
      </c>
      <c r="N31" s="5" t="s">
        <v>106</v>
      </c>
      <c r="O31" s="5" t="s">
        <v>106</v>
      </c>
      <c r="P31" s="5" t="s">
        <v>106</v>
      </c>
      <c r="Q31" s="5" t="s">
        <v>106</v>
      </c>
      <c r="R31" s="5" t="s">
        <v>106</v>
      </c>
      <c r="S31" s="5" t="s">
        <v>106</v>
      </c>
      <c r="T31" s="5" t="s">
        <v>106</v>
      </c>
      <c r="U31" s="5" t="s">
        <v>106</v>
      </c>
      <c r="V31" s="5">
        <v>0</v>
      </c>
      <c r="W31" s="16">
        <v>4</v>
      </c>
      <c r="X31" s="5">
        <v>1</v>
      </c>
      <c r="Y31" s="5">
        <v>1</v>
      </c>
      <c r="Z31" s="5">
        <v>1</v>
      </c>
      <c r="AA31" s="5">
        <v>0</v>
      </c>
      <c r="AB31" s="5" t="s">
        <v>106</v>
      </c>
      <c r="AC31" s="5">
        <v>0</v>
      </c>
      <c r="AD31" s="5">
        <v>1</v>
      </c>
    </row>
    <row r="32" spans="1:31" ht="34" x14ac:dyDescent="0.2">
      <c r="A32">
        <v>31</v>
      </c>
      <c r="B32">
        <v>1</v>
      </c>
      <c r="C32" s="5">
        <v>1</v>
      </c>
      <c r="D32" s="5">
        <v>1</v>
      </c>
      <c r="E32" s="5">
        <v>1</v>
      </c>
      <c r="F32" s="15" t="s">
        <v>179</v>
      </c>
      <c r="G32" s="5">
        <v>1</v>
      </c>
      <c r="H32" s="5">
        <v>1</v>
      </c>
      <c r="I32" s="5">
        <v>1</v>
      </c>
      <c r="J32" s="5">
        <v>1</v>
      </c>
      <c r="K32" t="s">
        <v>106</v>
      </c>
      <c r="L32" t="s">
        <v>106</v>
      </c>
      <c r="M32" s="5" t="s">
        <v>106</v>
      </c>
      <c r="N32" s="5" t="s">
        <v>106</v>
      </c>
      <c r="O32" s="5" t="s">
        <v>106</v>
      </c>
      <c r="P32">
        <v>1</v>
      </c>
      <c r="Q32" s="5" t="s">
        <v>106</v>
      </c>
      <c r="R32" s="5" t="s">
        <v>106</v>
      </c>
      <c r="S32" s="5" t="s">
        <v>106</v>
      </c>
      <c r="T32" s="5" t="s">
        <v>106</v>
      </c>
      <c r="U32" s="5" t="s">
        <v>106</v>
      </c>
      <c r="V32" s="5">
        <v>1</v>
      </c>
      <c r="W32" s="15" t="s">
        <v>180</v>
      </c>
      <c r="X32" s="5">
        <v>1</v>
      </c>
      <c r="Y32" s="5">
        <v>1</v>
      </c>
      <c r="Z32" s="5">
        <v>1</v>
      </c>
      <c r="AA32" s="5">
        <v>1</v>
      </c>
      <c r="AB32" t="s">
        <v>106</v>
      </c>
      <c r="AC32" s="5">
        <v>1</v>
      </c>
      <c r="AD32" s="5">
        <v>1</v>
      </c>
    </row>
    <row r="33" spans="1:31" ht="17" x14ac:dyDescent="0.2">
      <c r="A33">
        <v>32</v>
      </c>
      <c r="B33">
        <v>1</v>
      </c>
      <c r="C33" s="5">
        <v>1</v>
      </c>
      <c r="D33" s="5">
        <v>0</v>
      </c>
      <c r="E33" s="5">
        <v>1</v>
      </c>
      <c r="F33" s="15" t="s">
        <v>181</v>
      </c>
      <c r="G33" s="5">
        <v>1</v>
      </c>
      <c r="H33" s="5">
        <v>1</v>
      </c>
      <c r="I33" s="5">
        <v>1</v>
      </c>
      <c r="J33" s="5">
        <v>1</v>
      </c>
      <c r="K33" t="s">
        <v>106</v>
      </c>
      <c r="L33" t="s">
        <v>106</v>
      </c>
      <c r="M33" s="5" t="s">
        <v>106</v>
      </c>
      <c r="N33" s="5" t="s">
        <v>106</v>
      </c>
      <c r="O33" s="5" t="s">
        <v>106</v>
      </c>
      <c r="P33" s="5" t="s">
        <v>106</v>
      </c>
      <c r="Q33" s="5" t="s">
        <v>106</v>
      </c>
      <c r="R33" s="5" t="s">
        <v>106</v>
      </c>
      <c r="S33" s="5" t="s">
        <v>106</v>
      </c>
      <c r="T33" s="5" t="s">
        <v>106</v>
      </c>
      <c r="U33" s="5" t="s">
        <v>106</v>
      </c>
      <c r="V33" s="5">
        <v>1</v>
      </c>
      <c r="W33" s="15" t="s">
        <v>182</v>
      </c>
      <c r="X33" s="5">
        <v>1</v>
      </c>
      <c r="Y33" s="5">
        <v>1</v>
      </c>
      <c r="Z33" s="5">
        <v>1</v>
      </c>
      <c r="AA33" s="5">
        <v>1</v>
      </c>
      <c r="AB33" t="s">
        <v>132</v>
      </c>
      <c r="AC33" s="5">
        <v>1</v>
      </c>
      <c r="AD33" s="5">
        <v>1</v>
      </c>
    </row>
    <row r="34" spans="1:31" ht="17" x14ac:dyDescent="0.2">
      <c r="A34">
        <v>33</v>
      </c>
      <c r="B34">
        <v>1</v>
      </c>
      <c r="C34" s="5">
        <v>1</v>
      </c>
      <c r="D34" s="5">
        <v>0</v>
      </c>
      <c r="E34" s="5">
        <v>1</v>
      </c>
      <c r="F34" s="15" t="s">
        <v>183</v>
      </c>
      <c r="G34" s="5">
        <v>1</v>
      </c>
      <c r="H34" s="5">
        <v>0</v>
      </c>
      <c r="I34" s="5">
        <v>0</v>
      </c>
      <c r="J34" s="5">
        <v>0</v>
      </c>
      <c r="K34" t="s">
        <v>106</v>
      </c>
      <c r="L34">
        <v>0</v>
      </c>
      <c r="M34" s="5" t="s">
        <v>106</v>
      </c>
      <c r="N34" s="5" t="s">
        <v>106</v>
      </c>
      <c r="O34" s="5" t="s">
        <v>106</v>
      </c>
      <c r="P34" s="5" t="s">
        <v>106</v>
      </c>
      <c r="Q34" s="5" t="s">
        <v>106</v>
      </c>
      <c r="R34" s="5" t="s">
        <v>106</v>
      </c>
      <c r="S34" s="5" t="s">
        <v>106</v>
      </c>
      <c r="T34" s="5" t="s">
        <v>106</v>
      </c>
      <c r="U34" s="5" t="s">
        <v>106</v>
      </c>
      <c r="V34" s="5">
        <v>0</v>
      </c>
      <c r="W34" s="15" t="s">
        <v>184</v>
      </c>
      <c r="X34" s="5">
        <v>1</v>
      </c>
      <c r="Y34" s="5">
        <v>0</v>
      </c>
      <c r="Z34" s="5">
        <v>1</v>
      </c>
      <c r="AA34" s="5">
        <v>1</v>
      </c>
      <c r="AB34" t="s">
        <v>106</v>
      </c>
      <c r="AC34" s="5">
        <v>1</v>
      </c>
      <c r="AD34" s="5">
        <v>1</v>
      </c>
      <c r="AE34" t="s">
        <v>185</v>
      </c>
    </row>
    <row r="35" spans="1:31" ht="17" x14ac:dyDescent="0.2">
      <c r="A35">
        <v>34</v>
      </c>
      <c r="B35">
        <v>1</v>
      </c>
      <c r="C35" s="5">
        <v>1</v>
      </c>
      <c r="D35" s="5">
        <v>0</v>
      </c>
      <c r="E35" s="5">
        <v>1</v>
      </c>
      <c r="F35" s="15" t="s">
        <v>186</v>
      </c>
      <c r="G35" s="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s="5" t="s">
        <v>106</v>
      </c>
      <c r="N35" s="5" t="s">
        <v>106</v>
      </c>
      <c r="O35" s="5" t="s">
        <v>106</v>
      </c>
      <c r="P35" s="5" t="s">
        <v>106</v>
      </c>
      <c r="Q35" s="5" t="s">
        <v>106</v>
      </c>
      <c r="R35" s="5" t="s">
        <v>106</v>
      </c>
      <c r="S35" s="5" t="s">
        <v>106</v>
      </c>
      <c r="T35" s="5" t="s">
        <v>106</v>
      </c>
      <c r="U35" s="5" t="s">
        <v>106</v>
      </c>
      <c r="V35" s="5" t="s">
        <v>106</v>
      </c>
      <c r="W35" s="15" t="s">
        <v>187</v>
      </c>
      <c r="X35" s="5" t="s">
        <v>106</v>
      </c>
      <c r="Y35" s="5" t="s">
        <v>106</v>
      </c>
      <c r="Z35" s="5" t="s">
        <v>106</v>
      </c>
      <c r="AA35" s="5" t="s">
        <v>106</v>
      </c>
      <c r="AB35" s="5" t="s">
        <v>106</v>
      </c>
      <c r="AC35" s="5" t="s">
        <v>106</v>
      </c>
      <c r="AD35" s="5" t="s">
        <v>106</v>
      </c>
    </row>
    <row r="36" spans="1:31" ht="17" x14ac:dyDescent="0.2">
      <c r="A36">
        <v>35</v>
      </c>
      <c r="B36">
        <v>1</v>
      </c>
      <c r="C36" s="5">
        <v>1</v>
      </c>
      <c r="D36" s="5">
        <v>0</v>
      </c>
      <c r="E36" s="5">
        <v>1</v>
      </c>
      <c r="F36" s="15" t="s">
        <v>188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s="5" t="s">
        <v>106</v>
      </c>
      <c r="N36" s="5" t="s">
        <v>106</v>
      </c>
      <c r="O36" s="5" t="s">
        <v>106</v>
      </c>
      <c r="P36">
        <v>1</v>
      </c>
      <c r="Q36" t="s">
        <v>106</v>
      </c>
      <c r="R36" s="5" t="s">
        <v>106</v>
      </c>
      <c r="S36" s="5">
        <v>1</v>
      </c>
      <c r="T36" s="5" t="s">
        <v>106</v>
      </c>
      <c r="U36" s="5" t="s">
        <v>106</v>
      </c>
      <c r="V36" s="5">
        <v>1</v>
      </c>
      <c r="W36" s="15" t="s">
        <v>189</v>
      </c>
      <c r="X36" s="5">
        <v>1</v>
      </c>
      <c r="Y36" s="5">
        <v>0</v>
      </c>
      <c r="Z36" s="5">
        <v>1</v>
      </c>
      <c r="AA36" s="5">
        <v>0</v>
      </c>
      <c r="AB36" s="5" t="s">
        <v>106</v>
      </c>
      <c r="AC36" s="5">
        <v>1</v>
      </c>
      <c r="AD36" s="5">
        <v>1</v>
      </c>
    </row>
    <row r="37" spans="1:31" ht="17" x14ac:dyDescent="0.2">
      <c r="A37">
        <v>36</v>
      </c>
      <c r="B37">
        <v>1</v>
      </c>
      <c r="C37" s="5">
        <v>0</v>
      </c>
      <c r="D37" s="5">
        <v>0</v>
      </c>
      <c r="E37" s="5">
        <v>1</v>
      </c>
      <c r="F37" s="15" t="s">
        <v>190</v>
      </c>
      <c r="G37" s="5">
        <v>0</v>
      </c>
      <c r="H37" s="5" t="s">
        <v>106</v>
      </c>
      <c r="I37" s="5" t="s">
        <v>106</v>
      </c>
      <c r="J37">
        <v>1</v>
      </c>
      <c r="K37" t="s">
        <v>106</v>
      </c>
      <c r="L37" t="s">
        <v>106</v>
      </c>
      <c r="M37" s="5" t="s">
        <v>106</v>
      </c>
      <c r="N37" s="5" t="s">
        <v>106</v>
      </c>
      <c r="O37" s="5" t="s">
        <v>106</v>
      </c>
      <c r="P37" s="5" t="s">
        <v>106</v>
      </c>
      <c r="Q37" s="5" t="s">
        <v>106</v>
      </c>
      <c r="R37" s="5" t="s">
        <v>106</v>
      </c>
      <c r="S37" s="5" t="s">
        <v>106</v>
      </c>
      <c r="T37" s="5" t="s">
        <v>106</v>
      </c>
      <c r="U37" s="5" t="s">
        <v>106</v>
      </c>
      <c r="V37" s="5">
        <v>0</v>
      </c>
      <c r="W37" s="15" t="s">
        <v>191</v>
      </c>
      <c r="X37" s="5">
        <v>0</v>
      </c>
      <c r="Y37" s="5">
        <v>0</v>
      </c>
      <c r="Z37" s="5">
        <v>0</v>
      </c>
      <c r="AA37" s="5">
        <v>0</v>
      </c>
      <c r="AB37" s="5" t="s">
        <v>106</v>
      </c>
      <c r="AC37" s="5">
        <v>1</v>
      </c>
      <c r="AD37" s="5">
        <v>1</v>
      </c>
    </row>
    <row r="38" spans="1:31" ht="17" x14ac:dyDescent="0.2">
      <c r="A38">
        <v>37</v>
      </c>
      <c r="B38">
        <v>1</v>
      </c>
      <c r="C38" s="5">
        <v>1</v>
      </c>
      <c r="D38" s="5">
        <v>0</v>
      </c>
      <c r="E38" s="5">
        <v>1</v>
      </c>
      <c r="F38" s="15" t="s">
        <v>192</v>
      </c>
      <c r="G38" s="5">
        <v>1</v>
      </c>
      <c r="H38" s="5">
        <v>1</v>
      </c>
      <c r="I38" t="s">
        <v>106</v>
      </c>
      <c r="J38">
        <v>1</v>
      </c>
      <c r="K38" t="s">
        <v>106</v>
      </c>
      <c r="L38" t="s">
        <v>106</v>
      </c>
      <c r="M38" s="5" t="s">
        <v>106</v>
      </c>
      <c r="N38" s="5" t="s">
        <v>106</v>
      </c>
      <c r="O38" s="5" t="s">
        <v>106</v>
      </c>
      <c r="P38" s="5" t="s">
        <v>106</v>
      </c>
      <c r="Q38" s="5" t="s">
        <v>106</v>
      </c>
      <c r="R38">
        <v>1</v>
      </c>
      <c r="S38" s="5" t="s">
        <v>106</v>
      </c>
      <c r="T38">
        <v>1</v>
      </c>
      <c r="U38" s="5" t="s">
        <v>106</v>
      </c>
      <c r="V38" s="5">
        <v>1</v>
      </c>
      <c r="W38" s="15">
        <v>3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t="s">
        <v>193</v>
      </c>
    </row>
    <row r="39" spans="1:31" ht="34" x14ac:dyDescent="0.2">
      <c r="A39">
        <v>38</v>
      </c>
      <c r="B39">
        <v>1</v>
      </c>
      <c r="C39" s="5">
        <v>1</v>
      </c>
      <c r="D39" s="5">
        <v>0</v>
      </c>
      <c r="E39" s="5">
        <v>1</v>
      </c>
      <c r="F39" s="15" t="s">
        <v>194</v>
      </c>
      <c r="G39" s="5">
        <v>1</v>
      </c>
      <c r="H39" s="5">
        <v>1</v>
      </c>
      <c r="I39" s="5">
        <v>1</v>
      </c>
      <c r="J39" s="5">
        <v>1</v>
      </c>
      <c r="K39" t="s">
        <v>106</v>
      </c>
      <c r="L39" t="s">
        <v>106</v>
      </c>
      <c r="M39" s="5" t="s">
        <v>106</v>
      </c>
      <c r="N39" s="5" t="s">
        <v>106</v>
      </c>
      <c r="O39" s="5" t="s">
        <v>106</v>
      </c>
      <c r="P39" s="5" t="s">
        <v>106</v>
      </c>
      <c r="Q39" s="5" t="s">
        <v>106</v>
      </c>
      <c r="R39">
        <v>0</v>
      </c>
      <c r="S39" s="5" t="s">
        <v>106</v>
      </c>
      <c r="T39" s="5" t="s">
        <v>106</v>
      </c>
      <c r="U39" s="5" t="s">
        <v>106</v>
      </c>
      <c r="V39" s="5">
        <v>1</v>
      </c>
      <c r="W39" s="15" t="s">
        <v>195</v>
      </c>
      <c r="X39" s="5">
        <v>1</v>
      </c>
      <c r="Y39" s="5">
        <v>1</v>
      </c>
      <c r="Z39" s="5">
        <v>1</v>
      </c>
      <c r="AA39" s="5">
        <v>1</v>
      </c>
      <c r="AB39" s="5" t="s">
        <v>106</v>
      </c>
      <c r="AC39" s="5">
        <v>1</v>
      </c>
      <c r="AD39" s="5">
        <v>1</v>
      </c>
    </row>
    <row r="40" spans="1:31" ht="17" x14ac:dyDescent="0.2">
      <c r="A40">
        <v>39</v>
      </c>
      <c r="B40">
        <v>1</v>
      </c>
      <c r="C40" s="5">
        <v>0</v>
      </c>
      <c r="D40" s="5">
        <v>0</v>
      </c>
      <c r="E40" s="5">
        <v>1</v>
      </c>
      <c r="F40" s="15" t="s">
        <v>196</v>
      </c>
      <c r="G40" s="5">
        <v>0</v>
      </c>
      <c r="H40" s="5">
        <v>0</v>
      </c>
      <c r="I40" s="5" t="s">
        <v>106</v>
      </c>
      <c r="J40" t="s">
        <v>106</v>
      </c>
      <c r="K40" t="s">
        <v>106</v>
      </c>
      <c r="L40" t="s">
        <v>106</v>
      </c>
      <c r="M40" s="5" t="s">
        <v>106</v>
      </c>
      <c r="N40" s="5" t="s">
        <v>106</v>
      </c>
      <c r="O40" s="5" t="s">
        <v>106</v>
      </c>
      <c r="P40" s="5" t="s">
        <v>106</v>
      </c>
      <c r="Q40" s="5" t="s">
        <v>106</v>
      </c>
      <c r="R40" s="5" t="s">
        <v>106</v>
      </c>
      <c r="S40" s="5" t="s">
        <v>106</v>
      </c>
      <c r="T40" s="5" t="s">
        <v>106</v>
      </c>
      <c r="U40" s="5" t="s">
        <v>106</v>
      </c>
      <c r="V40" s="5">
        <v>0</v>
      </c>
      <c r="W40" s="15" t="s">
        <v>197</v>
      </c>
      <c r="X40" s="5">
        <v>1</v>
      </c>
      <c r="Y40" s="5">
        <v>1</v>
      </c>
      <c r="Z40" s="5">
        <v>0</v>
      </c>
      <c r="AA40" s="5">
        <v>0</v>
      </c>
      <c r="AB40" s="5" t="s">
        <v>106</v>
      </c>
      <c r="AC40" s="5">
        <v>1</v>
      </c>
      <c r="AD40" s="5">
        <v>1</v>
      </c>
    </row>
    <row r="41" spans="1:31" ht="17" x14ac:dyDescent="0.2">
      <c r="A41">
        <v>40</v>
      </c>
      <c r="B41">
        <v>1</v>
      </c>
      <c r="C41">
        <v>0</v>
      </c>
      <c r="D41">
        <v>0</v>
      </c>
      <c r="E41">
        <v>0</v>
      </c>
      <c r="F41" s="15" t="s">
        <v>198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>
        <v>0</v>
      </c>
      <c r="M41" t="s">
        <v>106</v>
      </c>
      <c r="N41" t="s">
        <v>106</v>
      </c>
      <c r="O41" t="s">
        <v>106</v>
      </c>
      <c r="P41" t="s">
        <v>106</v>
      </c>
      <c r="Q41">
        <v>1</v>
      </c>
      <c r="R41" t="s">
        <v>106</v>
      </c>
      <c r="S41">
        <v>1</v>
      </c>
      <c r="T41" s="5" t="s">
        <v>106</v>
      </c>
      <c r="U41" s="5" t="s">
        <v>106</v>
      </c>
      <c r="V41">
        <v>0</v>
      </c>
      <c r="W41" s="15" t="s">
        <v>199</v>
      </c>
      <c r="X41">
        <v>0</v>
      </c>
      <c r="Y41">
        <v>0</v>
      </c>
      <c r="Z41">
        <v>0</v>
      </c>
      <c r="AA41" t="s">
        <v>106</v>
      </c>
      <c r="AB41" t="s">
        <v>106</v>
      </c>
      <c r="AC41">
        <v>1</v>
      </c>
      <c r="AD41">
        <v>1</v>
      </c>
      <c r="AE41" t="s">
        <v>200</v>
      </c>
    </row>
    <row r="42" spans="1:31" ht="17" x14ac:dyDescent="0.2">
      <c r="A42">
        <v>41</v>
      </c>
      <c r="B42">
        <v>1</v>
      </c>
      <c r="C42">
        <v>0</v>
      </c>
      <c r="D42">
        <v>0</v>
      </c>
      <c r="E42">
        <v>0</v>
      </c>
      <c r="F42" s="15" t="s">
        <v>201</v>
      </c>
      <c r="G42">
        <v>0</v>
      </c>
      <c r="H42">
        <v>0</v>
      </c>
      <c r="I42">
        <v>0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>
        <v>0</v>
      </c>
      <c r="R42" t="s">
        <v>106</v>
      </c>
      <c r="S42" t="s">
        <v>106</v>
      </c>
      <c r="T42" s="5" t="s">
        <v>106</v>
      </c>
      <c r="U42" s="5" t="s">
        <v>106</v>
      </c>
      <c r="V42">
        <v>0</v>
      </c>
      <c r="W42" s="15" t="s">
        <v>202</v>
      </c>
      <c r="X42">
        <v>0</v>
      </c>
      <c r="Y42">
        <v>0</v>
      </c>
      <c r="Z42">
        <v>0</v>
      </c>
      <c r="AA42" t="s">
        <v>106</v>
      </c>
      <c r="AB42" t="s">
        <v>106</v>
      </c>
      <c r="AC42">
        <v>1</v>
      </c>
      <c r="AD42">
        <v>0</v>
      </c>
    </row>
    <row r="43" spans="1:31" ht="17" x14ac:dyDescent="0.2">
      <c r="A43">
        <v>42</v>
      </c>
      <c r="B43">
        <v>1</v>
      </c>
      <c r="C43">
        <v>1</v>
      </c>
      <c r="D43">
        <v>1</v>
      </c>
      <c r="E43">
        <v>1</v>
      </c>
      <c r="F43" s="15" t="s">
        <v>203</v>
      </c>
      <c r="G43">
        <v>1</v>
      </c>
      <c r="H43">
        <v>1</v>
      </c>
      <c r="I43">
        <v>1</v>
      </c>
      <c r="J43">
        <v>1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s="5" t="s">
        <v>106</v>
      </c>
      <c r="U43" s="5" t="s">
        <v>106</v>
      </c>
      <c r="V43">
        <v>1</v>
      </c>
      <c r="W43" s="15" t="s">
        <v>204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</row>
    <row r="44" spans="1:31" ht="17" x14ac:dyDescent="0.2">
      <c r="A44">
        <v>43</v>
      </c>
      <c r="B44">
        <v>1</v>
      </c>
      <c r="C44">
        <v>1</v>
      </c>
      <c r="D44">
        <v>0</v>
      </c>
      <c r="E44">
        <v>0</v>
      </c>
      <c r="F44" s="15" t="s">
        <v>205</v>
      </c>
      <c r="G44">
        <v>1</v>
      </c>
      <c r="H44">
        <v>1</v>
      </c>
      <c r="I44">
        <v>1</v>
      </c>
      <c r="J44" t="s">
        <v>106</v>
      </c>
      <c r="K44" t="s">
        <v>106</v>
      </c>
      <c r="L44">
        <v>1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 t="s">
        <v>106</v>
      </c>
      <c r="T44" s="5" t="s">
        <v>106</v>
      </c>
      <c r="U44" s="5" t="s">
        <v>106</v>
      </c>
      <c r="V44">
        <v>1</v>
      </c>
      <c r="W44" s="15" t="s">
        <v>204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</row>
    <row r="45" spans="1:31" ht="17" x14ac:dyDescent="0.2">
      <c r="A45">
        <v>44</v>
      </c>
      <c r="B45">
        <v>1</v>
      </c>
      <c r="C45">
        <v>0</v>
      </c>
      <c r="D45">
        <v>0</v>
      </c>
      <c r="E45">
        <v>1</v>
      </c>
      <c r="F45" s="15" t="s">
        <v>206</v>
      </c>
      <c r="G45">
        <v>0</v>
      </c>
      <c r="H45">
        <v>0</v>
      </c>
      <c r="I45">
        <v>0</v>
      </c>
      <c r="J45">
        <v>0</v>
      </c>
      <c r="K45" t="s">
        <v>106</v>
      </c>
      <c r="L45" t="s">
        <v>106</v>
      </c>
      <c r="M45" t="s">
        <v>106</v>
      </c>
      <c r="N45" t="s">
        <v>106</v>
      </c>
      <c r="O45" t="s">
        <v>106</v>
      </c>
      <c r="P45" t="s">
        <v>106</v>
      </c>
      <c r="Q45" t="s">
        <v>106</v>
      </c>
      <c r="R45" t="s">
        <v>106</v>
      </c>
      <c r="S45" t="s">
        <v>106</v>
      </c>
      <c r="T45" s="5" t="s">
        <v>106</v>
      </c>
      <c r="U45" s="5" t="s">
        <v>106</v>
      </c>
      <c r="V45">
        <v>0</v>
      </c>
      <c r="W45" s="15" t="s">
        <v>207</v>
      </c>
      <c r="X45">
        <v>0</v>
      </c>
      <c r="Y45">
        <v>1</v>
      </c>
      <c r="Z45">
        <v>0</v>
      </c>
      <c r="AA45">
        <v>0</v>
      </c>
      <c r="AB45" t="s">
        <v>106</v>
      </c>
      <c r="AC45">
        <v>1</v>
      </c>
      <c r="AD45">
        <v>1</v>
      </c>
    </row>
    <row r="46" spans="1:31" ht="17" x14ac:dyDescent="0.2">
      <c r="A46">
        <v>45</v>
      </c>
      <c r="B46">
        <v>1</v>
      </c>
      <c r="C46">
        <v>1</v>
      </c>
      <c r="D46">
        <v>0</v>
      </c>
      <c r="E46">
        <v>1</v>
      </c>
      <c r="F46" s="15" t="s">
        <v>208</v>
      </c>
      <c r="G46">
        <v>1</v>
      </c>
      <c r="H46">
        <v>1</v>
      </c>
      <c r="I46" t="s">
        <v>106</v>
      </c>
      <c r="J46" t="s">
        <v>106</v>
      </c>
      <c r="K46">
        <v>1</v>
      </c>
      <c r="L46" t="s">
        <v>106</v>
      </c>
      <c r="M46">
        <v>0</v>
      </c>
      <c r="N46" t="s">
        <v>106</v>
      </c>
      <c r="O46" t="s">
        <v>106</v>
      </c>
      <c r="P46">
        <v>1</v>
      </c>
      <c r="Q46" t="s">
        <v>106</v>
      </c>
      <c r="R46" t="s">
        <v>106</v>
      </c>
      <c r="S46" t="s">
        <v>106</v>
      </c>
      <c r="T46" s="5" t="s">
        <v>106</v>
      </c>
      <c r="U46" s="5" t="s">
        <v>106</v>
      </c>
      <c r="V46">
        <v>1</v>
      </c>
      <c r="W46" t="s">
        <v>209</v>
      </c>
      <c r="X46">
        <v>1</v>
      </c>
      <c r="Y46">
        <v>0</v>
      </c>
      <c r="Z46">
        <v>1</v>
      </c>
      <c r="AA46">
        <v>1</v>
      </c>
      <c r="AB46">
        <v>0</v>
      </c>
      <c r="AC46">
        <v>1</v>
      </c>
      <c r="AD46">
        <v>0</v>
      </c>
      <c r="AE46" t="s">
        <v>210</v>
      </c>
    </row>
    <row r="47" spans="1:31" s="5" customFormat="1" ht="17" x14ac:dyDescent="0.2">
      <c r="A47" s="5">
        <v>46</v>
      </c>
      <c r="B47" s="5">
        <v>1</v>
      </c>
      <c r="C47" s="5">
        <v>1</v>
      </c>
      <c r="D47" s="5">
        <v>0</v>
      </c>
      <c r="E47" s="5">
        <v>1</v>
      </c>
      <c r="F47" s="16" t="s">
        <v>211</v>
      </c>
      <c r="G47" s="5">
        <v>1</v>
      </c>
      <c r="H47" s="5">
        <v>1</v>
      </c>
      <c r="I47" s="5">
        <v>1</v>
      </c>
      <c r="J47" s="5">
        <v>1</v>
      </c>
      <c r="K47" s="5" t="s">
        <v>106</v>
      </c>
      <c r="L47" s="5" t="s">
        <v>106</v>
      </c>
      <c r="M47" s="5" t="s">
        <v>106</v>
      </c>
      <c r="N47" s="5" t="s">
        <v>106</v>
      </c>
      <c r="O47" s="5" t="s">
        <v>106</v>
      </c>
      <c r="P47" s="5">
        <v>1</v>
      </c>
      <c r="Q47" s="5" t="s">
        <v>106</v>
      </c>
      <c r="R47" s="5" t="s">
        <v>106</v>
      </c>
      <c r="S47" s="5" t="s">
        <v>106</v>
      </c>
      <c r="T47" s="5" t="s">
        <v>106</v>
      </c>
      <c r="U47" s="5" t="s">
        <v>106</v>
      </c>
      <c r="V47" s="5">
        <v>0</v>
      </c>
      <c r="W47" s="16" t="s">
        <v>212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</row>
    <row r="48" spans="1:31" ht="17" x14ac:dyDescent="0.2">
      <c r="A48">
        <v>47</v>
      </c>
      <c r="B48" t="s">
        <v>106</v>
      </c>
      <c r="C48">
        <v>1</v>
      </c>
      <c r="D48">
        <v>1</v>
      </c>
      <c r="E48">
        <v>1</v>
      </c>
      <c r="F48" s="15" t="s">
        <v>213</v>
      </c>
      <c r="G48">
        <v>0</v>
      </c>
      <c r="H48" t="s">
        <v>106</v>
      </c>
      <c r="I48">
        <v>0</v>
      </c>
      <c r="J48">
        <v>0</v>
      </c>
      <c r="K48" t="s">
        <v>106</v>
      </c>
      <c r="L48" t="s">
        <v>106</v>
      </c>
      <c r="M48" t="s">
        <v>106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s="5" t="s">
        <v>106</v>
      </c>
      <c r="T48" s="5" t="s">
        <v>106</v>
      </c>
      <c r="U48" s="5" t="s">
        <v>106</v>
      </c>
      <c r="V48">
        <v>0</v>
      </c>
      <c r="W48" s="15" t="s">
        <v>214</v>
      </c>
      <c r="X48">
        <v>0</v>
      </c>
      <c r="Y48" s="17">
        <v>1</v>
      </c>
      <c r="Z48" s="17">
        <v>1</v>
      </c>
      <c r="AA48" s="17">
        <v>0</v>
      </c>
      <c r="AB48" t="s">
        <v>106</v>
      </c>
      <c r="AC48">
        <v>0</v>
      </c>
      <c r="AD48">
        <v>1</v>
      </c>
      <c r="AE48" t="s">
        <v>138</v>
      </c>
    </row>
    <row r="49" spans="1:31" ht="17" x14ac:dyDescent="0.2">
      <c r="A49">
        <v>48</v>
      </c>
      <c r="B49">
        <v>1</v>
      </c>
      <c r="C49">
        <v>0</v>
      </c>
      <c r="D49">
        <v>0</v>
      </c>
      <c r="E49">
        <v>0</v>
      </c>
      <c r="F49" s="15" t="s">
        <v>215</v>
      </c>
      <c r="G49">
        <v>1</v>
      </c>
      <c r="H49" t="s">
        <v>106</v>
      </c>
      <c r="I49">
        <v>0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s="5" t="s">
        <v>106</v>
      </c>
      <c r="T49" s="5" t="s">
        <v>106</v>
      </c>
      <c r="U49" s="5" t="s">
        <v>106</v>
      </c>
      <c r="V49">
        <v>0</v>
      </c>
      <c r="W49" s="15" t="s">
        <v>216</v>
      </c>
      <c r="X49">
        <v>0</v>
      </c>
      <c r="Y49" s="17">
        <v>0</v>
      </c>
      <c r="Z49" s="17">
        <v>0</v>
      </c>
      <c r="AA49" s="17">
        <v>0</v>
      </c>
      <c r="AB49" t="s">
        <v>106</v>
      </c>
      <c r="AC49">
        <v>0</v>
      </c>
      <c r="AD49">
        <v>0</v>
      </c>
      <c r="AE49" t="s">
        <v>217</v>
      </c>
    </row>
    <row r="50" spans="1:31" ht="17" x14ac:dyDescent="0.2">
      <c r="A50">
        <v>49</v>
      </c>
      <c r="B50">
        <v>1</v>
      </c>
      <c r="C50">
        <v>1</v>
      </c>
      <c r="D50">
        <v>1</v>
      </c>
      <c r="E50">
        <v>1</v>
      </c>
      <c r="F50" s="15" t="s">
        <v>218</v>
      </c>
      <c r="G50">
        <v>1</v>
      </c>
      <c r="H50">
        <v>0</v>
      </c>
      <c r="I50">
        <v>0</v>
      </c>
      <c r="J50">
        <v>0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s="5" t="s">
        <v>106</v>
      </c>
      <c r="T50" s="5" t="s">
        <v>106</v>
      </c>
      <c r="U50" s="5" t="s">
        <v>106</v>
      </c>
      <c r="V50">
        <v>0</v>
      </c>
      <c r="W50" s="18" t="s">
        <v>219</v>
      </c>
      <c r="X50">
        <v>0</v>
      </c>
      <c r="Y50" s="17">
        <v>0</v>
      </c>
      <c r="Z50" s="17">
        <v>0</v>
      </c>
      <c r="AA50" t="s">
        <v>132</v>
      </c>
      <c r="AB50" t="s">
        <v>132</v>
      </c>
      <c r="AC50">
        <v>1</v>
      </c>
      <c r="AD50">
        <v>0</v>
      </c>
      <c r="AE50" t="s">
        <v>220</v>
      </c>
    </row>
    <row r="51" spans="1:31" ht="17" x14ac:dyDescent="0.2">
      <c r="A51">
        <v>50</v>
      </c>
      <c r="B51">
        <v>1</v>
      </c>
      <c r="C51">
        <v>0</v>
      </c>
      <c r="D51">
        <v>0</v>
      </c>
      <c r="E51">
        <v>0</v>
      </c>
      <c r="F51" s="15" t="s">
        <v>221</v>
      </c>
      <c r="G51">
        <v>1</v>
      </c>
      <c r="H51" t="s">
        <v>106</v>
      </c>
      <c r="I51">
        <v>0</v>
      </c>
      <c r="J51" t="s">
        <v>106</v>
      </c>
      <c r="K51" t="s">
        <v>106</v>
      </c>
      <c r="L51" t="s">
        <v>106</v>
      </c>
      <c r="M51" t="s">
        <v>106</v>
      </c>
      <c r="N51" t="s">
        <v>106</v>
      </c>
      <c r="O51" t="s">
        <v>106</v>
      </c>
      <c r="P51">
        <v>1</v>
      </c>
      <c r="Q51" t="s">
        <v>106</v>
      </c>
      <c r="R51" t="s">
        <v>106</v>
      </c>
      <c r="S51" s="5" t="s">
        <v>106</v>
      </c>
      <c r="T51" s="5" t="s">
        <v>106</v>
      </c>
      <c r="U51" s="5" t="s">
        <v>106</v>
      </c>
      <c r="V51">
        <v>0</v>
      </c>
      <c r="W51" s="15" t="s">
        <v>222</v>
      </c>
      <c r="X51">
        <v>1</v>
      </c>
      <c r="Y51" s="17">
        <v>0</v>
      </c>
      <c r="Z51" s="17">
        <v>0</v>
      </c>
      <c r="AA51" s="17">
        <v>0</v>
      </c>
      <c r="AB51" t="s">
        <v>106</v>
      </c>
      <c r="AC51">
        <v>0</v>
      </c>
      <c r="AD51">
        <v>1</v>
      </c>
      <c r="AE51" t="s">
        <v>223</v>
      </c>
    </row>
    <row r="52" spans="1:31" ht="17" x14ac:dyDescent="0.2">
      <c r="A52">
        <v>51</v>
      </c>
      <c r="B52">
        <v>1</v>
      </c>
      <c r="C52">
        <v>1</v>
      </c>
      <c r="D52">
        <v>1</v>
      </c>
      <c r="E52">
        <v>1</v>
      </c>
      <c r="F52" s="15" t="s">
        <v>224</v>
      </c>
      <c r="G52">
        <v>1</v>
      </c>
      <c r="H52" t="s">
        <v>106</v>
      </c>
      <c r="I52">
        <v>1</v>
      </c>
      <c r="J52">
        <v>1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s="5" t="s">
        <v>106</v>
      </c>
      <c r="T52" s="5" t="s">
        <v>106</v>
      </c>
      <c r="U52" s="5" t="s">
        <v>106</v>
      </c>
      <c r="V52">
        <v>0</v>
      </c>
      <c r="W52" s="15" t="s">
        <v>225</v>
      </c>
      <c r="X52">
        <v>1</v>
      </c>
      <c r="Y52" s="17">
        <v>0</v>
      </c>
      <c r="Z52" s="17">
        <v>0</v>
      </c>
      <c r="AA52" s="17">
        <v>1</v>
      </c>
      <c r="AB52" s="17">
        <v>1</v>
      </c>
      <c r="AC52" s="17">
        <v>1</v>
      </c>
      <c r="AD52" s="17">
        <v>1</v>
      </c>
    </row>
    <row r="53" spans="1:31" ht="17" x14ac:dyDescent="0.2">
      <c r="A53">
        <v>52</v>
      </c>
      <c r="B53">
        <v>1</v>
      </c>
      <c r="C53">
        <v>0</v>
      </c>
      <c r="D53">
        <v>0</v>
      </c>
      <c r="E53">
        <v>1</v>
      </c>
      <c r="F53" s="15" t="s">
        <v>226</v>
      </c>
      <c r="G53">
        <v>0</v>
      </c>
      <c r="H53" t="s">
        <v>106</v>
      </c>
      <c r="I53">
        <v>0</v>
      </c>
      <c r="J53">
        <v>0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s="5" t="s">
        <v>106</v>
      </c>
      <c r="T53" s="5" t="s">
        <v>106</v>
      </c>
      <c r="U53" s="5" t="s">
        <v>106</v>
      </c>
      <c r="V53">
        <v>0</v>
      </c>
      <c r="W53" s="15" t="s">
        <v>227</v>
      </c>
      <c r="X53">
        <v>1</v>
      </c>
      <c r="Y53" s="17">
        <v>1</v>
      </c>
      <c r="Z53" s="17">
        <v>0</v>
      </c>
      <c r="AA53" s="17">
        <v>1</v>
      </c>
      <c r="AB53" s="17" t="s">
        <v>132</v>
      </c>
      <c r="AC53" s="17">
        <v>1</v>
      </c>
      <c r="AD53" s="17">
        <v>1</v>
      </c>
    </row>
    <row r="54" spans="1:31" ht="17" x14ac:dyDescent="0.2">
      <c r="A54">
        <v>53</v>
      </c>
      <c r="B54">
        <v>1</v>
      </c>
      <c r="C54">
        <v>1</v>
      </c>
      <c r="D54">
        <v>1</v>
      </c>
      <c r="E54">
        <v>1</v>
      </c>
      <c r="F54" s="15" t="s">
        <v>228</v>
      </c>
      <c r="G54">
        <v>1</v>
      </c>
      <c r="H54">
        <v>1</v>
      </c>
      <c r="I54">
        <v>1</v>
      </c>
      <c r="J54">
        <v>1</v>
      </c>
      <c r="K54" t="s">
        <v>106</v>
      </c>
      <c r="L54">
        <v>1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s="5" t="s">
        <v>106</v>
      </c>
      <c r="T54" s="5" t="s">
        <v>106</v>
      </c>
      <c r="U54" s="5" t="s">
        <v>106</v>
      </c>
      <c r="V54">
        <v>0</v>
      </c>
      <c r="W54" s="15" t="s">
        <v>229</v>
      </c>
      <c r="X54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0</v>
      </c>
      <c r="AE54" t="s">
        <v>230</v>
      </c>
    </row>
    <row r="55" spans="1:31" ht="34" x14ac:dyDescent="0.2">
      <c r="A55">
        <v>54</v>
      </c>
      <c r="B55">
        <v>1</v>
      </c>
      <c r="C55">
        <v>1</v>
      </c>
      <c r="D55">
        <v>1</v>
      </c>
      <c r="E55">
        <v>1</v>
      </c>
      <c r="F55" s="15" t="s">
        <v>231</v>
      </c>
      <c r="G55">
        <v>1</v>
      </c>
      <c r="H55">
        <v>0</v>
      </c>
      <c r="I55">
        <v>1</v>
      </c>
      <c r="J55">
        <v>1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 s="5" t="s">
        <v>106</v>
      </c>
      <c r="T55" s="5" t="s">
        <v>106</v>
      </c>
      <c r="U55" s="5" t="s">
        <v>106</v>
      </c>
      <c r="V55">
        <v>0</v>
      </c>
      <c r="W55" s="15" t="s">
        <v>232</v>
      </c>
      <c r="X55" t="s">
        <v>106</v>
      </c>
      <c r="Y55" s="17">
        <v>1</v>
      </c>
      <c r="Z55" s="17">
        <v>0</v>
      </c>
      <c r="AA55" s="17">
        <v>0</v>
      </c>
      <c r="AB55" s="17">
        <v>0</v>
      </c>
      <c r="AC55" s="17">
        <v>1</v>
      </c>
      <c r="AD55" s="17">
        <v>0</v>
      </c>
      <c r="AE55" t="s">
        <v>233</v>
      </c>
    </row>
    <row r="56" spans="1:31" ht="17" x14ac:dyDescent="0.2">
      <c r="A56">
        <v>55</v>
      </c>
      <c r="B56">
        <v>1</v>
      </c>
      <c r="C56">
        <v>1</v>
      </c>
      <c r="D56">
        <v>1</v>
      </c>
      <c r="E56">
        <v>1</v>
      </c>
      <c r="F56" s="15" t="s">
        <v>234</v>
      </c>
      <c r="G56">
        <v>1</v>
      </c>
      <c r="H56">
        <v>1</v>
      </c>
      <c r="I56">
        <v>1</v>
      </c>
      <c r="J56">
        <v>1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 s="5" t="s">
        <v>106</v>
      </c>
      <c r="T56" s="5" t="s">
        <v>106</v>
      </c>
      <c r="U56" s="5" t="s">
        <v>106</v>
      </c>
      <c r="V56">
        <v>1</v>
      </c>
      <c r="W56" s="15" t="s">
        <v>235</v>
      </c>
      <c r="X56">
        <v>1</v>
      </c>
      <c r="Y56" s="17">
        <v>1</v>
      </c>
      <c r="Z56" s="17">
        <v>1</v>
      </c>
      <c r="AA56" s="17">
        <v>1</v>
      </c>
      <c r="AB56" t="s">
        <v>132</v>
      </c>
      <c r="AC56" s="17">
        <v>1</v>
      </c>
      <c r="AD56" s="17">
        <v>1</v>
      </c>
      <c r="AE56" t="s">
        <v>236</v>
      </c>
    </row>
    <row r="57" spans="1:31" ht="17" x14ac:dyDescent="0.2">
      <c r="A57">
        <v>56</v>
      </c>
      <c r="B57">
        <v>1</v>
      </c>
      <c r="C57">
        <v>1</v>
      </c>
      <c r="D57">
        <v>1</v>
      </c>
      <c r="E57">
        <v>0</v>
      </c>
      <c r="F57" s="15" t="s">
        <v>237</v>
      </c>
      <c r="G57" t="s">
        <v>106</v>
      </c>
      <c r="H57" t="s">
        <v>106</v>
      </c>
      <c r="I57">
        <v>1</v>
      </c>
      <c r="J57">
        <v>1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s="5" t="s">
        <v>106</v>
      </c>
      <c r="T57" s="5" t="s">
        <v>106</v>
      </c>
      <c r="U57" s="5" t="s">
        <v>106</v>
      </c>
      <c r="V57">
        <v>0</v>
      </c>
      <c r="W57" s="15" t="s">
        <v>235</v>
      </c>
      <c r="X57">
        <v>0</v>
      </c>
      <c r="Y57" s="17">
        <v>0</v>
      </c>
      <c r="Z57" s="17">
        <v>1</v>
      </c>
      <c r="AA57" s="17">
        <v>0</v>
      </c>
      <c r="AB57" s="17">
        <v>0</v>
      </c>
      <c r="AC57" s="17">
        <v>1</v>
      </c>
      <c r="AD57" s="17">
        <v>1</v>
      </c>
      <c r="AE57" t="s">
        <v>238</v>
      </c>
    </row>
    <row r="58" spans="1:31" ht="34" x14ac:dyDescent="0.2">
      <c r="A58">
        <v>57</v>
      </c>
      <c r="B58">
        <v>1</v>
      </c>
      <c r="C58">
        <v>0</v>
      </c>
      <c r="D58">
        <v>0</v>
      </c>
      <c r="E58">
        <v>0</v>
      </c>
      <c r="F58" s="15" t="s">
        <v>239</v>
      </c>
      <c r="G58" t="s">
        <v>106</v>
      </c>
      <c r="H58" t="s">
        <v>106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106</v>
      </c>
      <c r="O58" t="s">
        <v>106</v>
      </c>
      <c r="P58">
        <v>0</v>
      </c>
      <c r="Q58" t="s">
        <v>106</v>
      </c>
      <c r="R58" t="s">
        <v>106</v>
      </c>
      <c r="S58" s="5" t="s">
        <v>106</v>
      </c>
      <c r="T58" s="5" t="s">
        <v>106</v>
      </c>
      <c r="U58">
        <v>0</v>
      </c>
      <c r="V58">
        <v>0</v>
      </c>
      <c r="W58" s="15" t="s">
        <v>240</v>
      </c>
      <c r="X58">
        <v>0</v>
      </c>
      <c r="Y58" s="17">
        <v>0</v>
      </c>
      <c r="Z58" s="17">
        <v>0</v>
      </c>
      <c r="AA58" s="17">
        <v>0</v>
      </c>
      <c r="AB58" s="17">
        <v>1</v>
      </c>
      <c r="AC58" s="17">
        <v>1</v>
      </c>
      <c r="AD58" s="17">
        <v>0</v>
      </c>
      <c r="AE58" t="s">
        <v>241</v>
      </c>
    </row>
    <row r="59" spans="1:31" ht="17" x14ac:dyDescent="0.2">
      <c r="A59">
        <v>58</v>
      </c>
      <c r="B59">
        <v>1</v>
      </c>
      <c r="C59">
        <v>1</v>
      </c>
      <c r="D59">
        <v>1</v>
      </c>
      <c r="E59">
        <v>1</v>
      </c>
      <c r="F59" s="15" t="s">
        <v>242</v>
      </c>
      <c r="G59" t="s">
        <v>106</v>
      </c>
      <c r="H59">
        <v>1</v>
      </c>
      <c r="I59">
        <v>1</v>
      </c>
      <c r="J59">
        <v>1</v>
      </c>
      <c r="K59" t="s">
        <v>106</v>
      </c>
      <c r="L59">
        <v>1</v>
      </c>
      <c r="M59" t="s">
        <v>106</v>
      </c>
      <c r="N59" t="s">
        <v>106</v>
      </c>
      <c r="O59" t="s">
        <v>106</v>
      </c>
      <c r="P59">
        <v>1</v>
      </c>
      <c r="Q59" t="s">
        <v>106</v>
      </c>
      <c r="R59" t="s">
        <v>106</v>
      </c>
      <c r="S59" s="5" t="s">
        <v>106</v>
      </c>
      <c r="T59" s="5" t="s">
        <v>106</v>
      </c>
      <c r="U59" s="5" t="s">
        <v>106</v>
      </c>
      <c r="V59">
        <v>1</v>
      </c>
      <c r="W59" s="15" t="s">
        <v>243</v>
      </c>
      <c r="X59">
        <v>1</v>
      </c>
      <c r="Y59" s="17">
        <v>1</v>
      </c>
      <c r="Z59" s="17">
        <v>0</v>
      </c>
      <c r="AA59" s="17">
        <v>0</v>
      </c>
      <c r="AB59" t="s">
        <v>132</v>
      </c>
      <c r="AC59" s="17">
        <v>1</v>
      </c>
      <c r="AD59" s="17">
        <v>1</v>
      </c>
      <c r="AE59" t="s">
        <v>244</v>
      </c>
    </row>
    <row r="60" spans="1:31" ht="17" x14ac:dyDescent="0.2">
      <c r="A60">
        <v>59</v>
      </c>
      <c r="B60">
        <v>1</v>
      </c>
      <c r="C60">
        <v>1</v>
      </c>
      <c r="D60">
        <v>1</v>
      </c>
      <c r="E60">
        <v>1</v>
      </c>
      <c r="F60" s="15" t="s">
        <v>124</v>
      </c>
      <c r="G60">
        <v>0</v>
      </c>
      <c r="H60">
        <v>0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s="5" t="s">
        <v>106</v>
      </c>
      <c r="T60" s="5" t="s">
        <v>106</v>
      </c>
      <c r="U60" s="5" t="s">
        <v>106</v>
      </c>
      <c r="V60">
        <v>0</v>
      </c>
      <c r="W60" s="15" t="s">
        <v>245</v>
      </c>
      <c r="X60">
        <v>1</v>
      </c>
      <c r="Y60" s="17">
        <v>0</v>
      </c>
      <c r="Z60" s="17">
        <v>1</v>
      </c>
      <c r="AA60" s="17">
        <v>1</v>
      </c>
      <c r="AB60" t="s">
        <v>106</v>
      </c>
      <c r="AC60" s="17">
        <v>1</v>
      </c>
      <c r="AD60" s="17">
        <v>1</v>
      </c>
      <c r="AE60" t="s">
        <v>246</v>
      </c>
    </row>
    <row r="61" spans="1:31" ht="17" x14ac:dyDescent="0.2">
      <c r="A61">
        <v>60</v>
      </c>
      <c r="B61">
        <v>1</v>
      </c>
      <c r="C61">
        <v>1</v>
      </c>
      <c r="D61">
        <v>1</v>
      </c>
      <c r="E61">
        <v>0</v>
      </c>
      <c r="F61" s="15" t="s">
        <v>247</v>
      </c>
      <c r="G61">
        <v>1</v>
      </c>
      <c r="H61">
        <v>1</v>
      </c>
      <c r="I61">
        <v>1</v>
      </c>
      <c r="J61">
        <v>1</v>
      </c>
      <c r="K61" t="s">
        <v>106</v>
      </c>
      <c r="L61">
        <v>1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 s="5" t="s">
        <v>106</v>
      </c>
      <c r="T61" s="5" t="s">
        <v>106</v>
      </c>
      <c r="U61" s="5" t="s">
        <v>106</v>
      </c>
      <c r="V61">
        <v>0</v>
      </c>
      <c r="W61" s="15" t="s">
        <v>248</v>
      </c>
      <c r="X61">
        <v>0</v>
      </c>
      <c r="Y61" s="17">
        <v>0</v>
      </c>
      <c r="Z61" s="17">
        <v>0</v>
      </c>
      <c r="AA61" s="17">
        <v>0</v>
      </c>
      <c r="AB61" t="s">
        <v>106</v>
      </c>
      <c r="AC61" s="17">
        <v>1</v>
      </c>
      <c r="AD61" s="17">
        <v>0</v>
      </c>
      <c r="AE61" t="s">
        <v>249</v>
      </c>
    </row>
    <row r="62" spans="1:31" ht="17" x14ac:dyDescent="0.2">
      <c r="A62">
        <v>61</v>
      </c>
      <c r="B62">
        <v>1</v>
      </c>
      <c r="C62">
        <v>1</v>
      </c>
      <c r="D62">
        <v>1</v>
      </c>
      <c r="E62">
        <v>0</v>
      </c>
      <c r="F62" s="15" t="s">
        <v>250</v>
      </c>
      <c r="G62">
        <v>0</v>
      </c>
      <c r="H62" t="s">
        <v>106</v>
      </c>
      <c r="I62">
        <v>1</v>
      </c>
      <c r="J62" t="s">
        <v>106</v>
      </c>
      <c r="K62" t="s">
        <v>106</v>
      </c>
      <c r="L62">
        <v>1</v>
      </c>
      <c r="M62" t="s">
        <v>106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 s="5" t="s">
        <v>106</v>
      </c>
      <c r="T62" s="5" t="s">
        <v>106</v>
      </c>
      <c r="U62" s="5" t="s">
        <v>106</v>
      </c>
      <c r="V62">
        <v>0</v>
      </c>
      <c r="W62" s="15" t="s">
        <v>251</v>
      </c>
      <c r="X62">
        <v>0</v>
      </c>
      <c r="Y62" s="17">
        <v>0</v>
      </c>
      <c r="Z62" s="17">
        <v>0</v>
      </c>
      <c r="AA62" s="17">
        <v>0</v>
      </c>
      <c r="AB62" t="s">
        <v>106</v>
      </c>
      <c r="AC62" s="17">
        <v>0</v>
      </c>
      <c r="AD62" t="s">
        <v>106</v>
      </c>
      <c r="AE62" t="s">
        <v>252</v>
      </c>
    </row>
    <row r="63" spans="1:31" ht="17" x14ac:dyDescent="0.2">
      <c r="A63">
        <v>62</v>
      </c>
      <c r="B63">
        <v>1</v>
      </c>
      <c r="C63">
        <v>1</v>
      </c>
      <c r="D63">
        <v>1</v>
      </c>
      <c r="E63">
        <v>1</v>
      </c>
      <c r="F63" s="15" t="s">
        <v>253</v>
      </c>
      <c r="G63">
        <v>1</v>
      </c>
      <c r="H63">
        <v>1</v>
      </c>
      <c r="I63" t="s">
        <v>106</v>
      </c>
      <c r="J63">
        <v>0</v>
      </c>
      <c r="K63" t="s">
        <v>106</v>
      </c>
      <c r="L63">
        <v>1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s="5" t="s">
        <v>106</v>
      </c>
      <c r="T63" s="5" t="s">
        <v>106</v>
      </c>
      <c r="U63" s="5" t="s">
        <v>106</v>
      </c>
      <c r="V63">
        <v>0</v>
      </c>
      <c r="W63" s="15" t="s">
        <v>254</v>
      </c>
      <c r="X63">
        <v>0</v>
      </c>
      <c r="Y63" s="17">
        <v>0</v>
      </c>
      <c r="Z63" s="17">
        <v>0</v>
      </c>
      <c r="AA63" s="17">
        <v>0</v>
      </c>
      <c r="AB63" t="s">
        <v>106</v>
      </c>
      <c r="AC63" s="17">
        <v>0</v>
      </c>
      <c r="AD63" s="17">
        <v>1</v>
      </c>
      <c r="AE63" t="s">
        <v>255</v>
      </c>
    </row>
    <row r="64" spans="1:31" ht="34" x14ac:dyDescent="0.2">
      <c r="A64">
        <v>63</v>
      </c>
      <c r="B64">
        <v>1</v>
      </c>
      <c r="C64">
        <v>1</v>
      </c>
      <c r="D64">
        <v>1</v>
      </c>
      <c r="E64">
        <v>1</v>
      </c>
      <c r="F64" s="15" t="s">
        <v>256</v>
      </c>
      <c r="G64">
        <v>0</v>
      </c>
      <c r="H64" t="s">
        <v>106</v>
      </c>
      <c r="I64" t="s">
        <v>106</v>
      </c>
      <c r="J64">
        <v>0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s="5" t="s">
        <v>106</v>
      </c>
      <c r="T64" s="5" t="s">
        <v>106</v>
      </c>
      <c r="U64" s="5" t="s">
        <v>106</v>
      </c>
      <c r="V64">
        <v>0</v>
      </c>
      <c r="W64" s="15" t="s">
        <v>257</v>
      </c>
      <c r="X64">
        <v>0</v>
      </c>
      <c r="Y64" s="17">
        <v>1</v>
      </c>
      <c r="Z64" s="17">
        <v>0</v>
      </c>
      <c r="AA64">
        <v>1</v>
      </c>
      <c r="AB64" t="s">
        <v>106</v>
      </c>
      <c r="AC64" s="17">
        <v>1</v>
      </c>
      <c r="AD64" s="17">
        <v>1</v>
      </c>
    </row>
    <row r="65" spans="1:30" ht="17" x14ac:dyDescent="0.2">
      <c r="A65">
        <v>64</v>
      </c>
      <c r="B65">
        <v>1</v>
      </c>
      <c r="C65">
        <v>1</v>
      </c>
      <c r="D65">
        <v>0</v>
      </c>
      <c r="E65">
        <v>1</v>
      </c>
      <c r="F65" s="15" t="s">
        <v>258</v>
      </c>
      <c r="G65">
        <v>1</v>
      </c>
      <c r="H65" t="s">
        <v>106</v>
      </c>
      <c r="I65">
        <v>1</v>
      </c>
      <c r="J65">
        <v>1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s="5" t="s">
        <v>106</v>
      </c>
      <c r="T65" s="5" t="s">
        <v>106</v>
      </c>
      <c r="U65" s="5" t="s">
        <v>106</v>
      </c>
      <c r="V65">
        <v>0</v>
      </c>
      <c r="W65" s="15" t="s">
        <v>259</v>
      </c>
      <c r="X65">
        <v>1</v>
      </c>
      <c r="Y65" s="17">
        <v>1</v>
      </c>
      <c r="Z65" s="17">
        <v>0</v>
      </c>
      <c r="AA65" s="17">
        <v>1</v>
      </c>
      <c r="AB65" s="17">
        <v>1</v>
      </c>
      <c r="AC65" s="17">
        <v>1</v>
      </c>
      <c r="AD65" s="17">
        <v>1</v>
      </c>
    </row>
    <row r="66" spans="1:30" ht="17" x14ac:dyDescent="0.2">
      <c r="A66">
        <v>65</v>
      </c>
      <c r="B66">
        <v>1</v>
      </c>
      <c r="C66">
        <v>1</v>
      </c>
      <c r="D66">
        <v>1</v>
      </c>
      <c r="E66">
        <v>1</v>
      </c>
      <c r="F66" s="15" t="s">
        <v>260</v>
      </c>
      <c r="G66">
        <v>1</v>
      </c>
      <c r="H66" t="s">
        <v>106</v>
      </c>
      <c r="I66">
        <v>1</v>
      </c>
      <c r="J66">
        <v>1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s="5" t="s">
        <v>106</v>
      </c>
      <c r="T66" s="5" t="s">
        <v>106</v>
      </c>
      <c r="U66" s="5" t="s">
        <v>106</v>
      </c>
      <c r="V66">
        <v>1</v>
      </c>
      <c r="W66" s="15" t="s">
        <v>259</v>
      </c>
      <c r="X66">
        <v>1</v>
      </c>
      <c r="Y66" s="17">
        <v>1</v>
      </c>
      <c r="Z66" s="17">
        <v>1</v>
      </c>
      <c r="AA66" s="17">
        <v>1</v>
      </c>
      <c r="AB66" s="17" t="s">
        <v>106</v>
      </c>
      <c r="AC66" s="17">
        <v>1</v>
      </c>
      <c r="AD66" s="17">
        <v>1</v>
      </c>
    </row>
    <row r="67" spans="1:30" s="19" customFormat="1" x14ac:dyDescent="0.2">
      <c r="A67" s="19" t="s">
        <v>261</v>
      </c>
      <c r="B67" s="19">
        <f>COUNTIF(B2:B66,1)</f>
        <v>58</v>
      </c>
      <c r="C67" s="19">
        <f t="shared" ref="C67:E67" si="0">COUNTIF(C2:C66,1)</f>
        <v>52</v>
      </c>
      <c r="D67" s="19">
        <f t="shared" si="0"/>
        <v>28</v>
      </c>
      <c r="E67" s="19">
        <f t="shared" si="0"/>
        <v>43</v>
      </c>
      <c r="F67" s="20"/>
      <c r="G67" s="19">
        <f>COUNTIF(G2:G66,1)</f>
        <v>33</v>
      </c>
      <c r="H67" s="19">
        <f t="shared" ref="H67:X67" si="1">COUNTIF(H2:H66,1)</f>
        <v>26</v>
      </c>
      <c r="I67" s="19">
        <f t="shared" si="1"/>
        <v>25</v>
      </c>
      <c r="J67" s="19">
        <f t="shared" si="1"/>
        <v>23</v>
      </c>
      <c r="K67" s="19">
        <f t="shared" si="1"/>
        <v>3</v>
      </c>
      <c r="L67" s="19">
        <f t="shared" si="1"/>
        <v>15</v>
      </c>
      <c r="M67" s="19">
        <f t="shared" si="1"/>
        <v>1</v>
      </c>
      <c r="N67" s="19">
        <f t="shared" si="1"/>
        <v>2</v>
      </c>
      <c r="O67" s="19">
        <f t="shared" si="1"/>
        <v>1</v>
      </c>
      <c r="P67" s="19">
        <f t="shared" si="1"/>
        <v>8</v>
      </c>
      <c r="Q67" s="19">
        <f t="shared" si="1"/>
        <v>3</v>
      </c>
      <c r="R67" s="19">
        <f t="shared" si="1"/>
        <v>2</v>
      </c>
      <c r="S67" s="19">
        <f t="shared" si="1"/>
        <v>4</v>
      </c>
      <c r="T67" s="19">
        <f t="shared" si="1"/>
        <v>2</v>
      </c>
      <c r="U67" s="19">
        <f t="shared" si="1"/>
        <v>1</v>
      </c>
      <c r="V67" s="19">
        <f t="shared" si="1"/>
        <v>16</v>
      </c>
      <c r="W67" s="20"/>
      <c r="X67" s="19">
        <f t="shared" si="1"/>
        <v>31</v>
      </c>
      <c r="Y67" s="19">
        <f t="shared" ref="Y67" si="2">COUNTIF(Y2:Y66,1)</f>
        <v>24</v>
      </c>
      <c r="Z67" s="19">
        <f t="shared" ref="Z67" si="3">COUNTIF(Z2:Z66,1)</f>
        <v>25</v>
      </c>
      <c r="AA67" s="19">
        <f t="shared" ref="AA67" si="4">COUNTIF(AA2:AA66,1)</f>
        <v>25</v>
      </c>
      <c r="AB67" s="19">
        <f t="shared" ref="AB67" si="5">COUNTIF(AB2:AB66,1)</f>
        <v>8</v>
      </c>
      <c r="AC67" s="19">
        <f t="shared" ref="AC67" si="6">COUNTIF(AC2:AC66,1)</f>
        <v>55</v>
      </c>
      <c r="AD67" s="19">
        <f t="shared" ref="AD67" si="7">COUNTIF(AD2:AD66,1)</f>
        <v>42</v>
      </c>
    </row>
    <row r="68" spans="1:30" x14ac:dyDescent="0.2">
      <c r="A68" t="s">
        <v>262</v>
      </c>
      <c r="B68">
        <f>COUNTIF(B2:B66,0)</f>
        <v>4</v>
      </c>
      <c r="C68">
        <f>COUNTIF(C2:C66,0)</f>
        <v>11</v>
      </c>
      <c r="D68">
        <f>COUNTIF(D2:D66,0)</f>
        <v>33</v>
      </c>
      <c r="E68">
        <f>COUNTIF(E2:E66,0)</f>
        <v>20</v>
      </c>
      <c r="G68">
        <f t="shared" ref="G68:V68" si="8">COUNTIF(G2:G66,0)</f>
        <v>21</v>
      </c>
      <c r="H68">
        <f t="shared" si="8"/>
        <v>13</v>
      </c>
      <c r="I68">
        <f t="shared" si="8"/>
        <v>14</v>
      </c>
      <c r="J68">
        <f t="shared" si="8"/>
        <v>11</v>
      </c>
      <c r="K68">
        <f t="shared" si="8"/>
        <v>4</v>
      </c>
      <c r="L68">
        <f t="shared" si="8"/>
        <v>5</v>
      </c>
      <c r="M68">
        <f t="shared" si="8"/>
        <v>1</v>
      </c>
      <c r="N68">
        <f t="shared" si="8"/>
        <v>0</v>
      </c>
      <c r="O68">
        <f t="shared" si="8"/>
        <v>1</v>
      </c>
      <c r="P68">
        <f t="shared" si="8"/>
        <v>2</v>
      </c>
      <c r="Q68">
        <f t="shared" si="8"/>
        <v>2</v>
      </c>
      <c r="R68">
        <f t="shared" si="8"/>
        <v>1</v>
      </c>
      <c r="S68">
        <f t="shared" si="8"/>
        <v>0</v>
      </c>
      <c r="T68">
        <f t="shared" si="8"/>
        <v>0</v>
      </c>
      <c r="U68">
        <f t="shared" si="8"/>
        <v>3</v>
      </c>
      <c r="V68">
        <f t="shared" si="8"/>
        <v>38</v>
      </c>
      <c r="W68"/>
      <c r="X68">
        <f t="shared" ref="X68:AD68" si="9">COUNTIF(X2:X66,0)</f>
        <v>23</v>
      </c>
      <c r="Y68">
        <f t="shared" si="9"/>
        <v>29</v>
      </c>
      <c r="Z68">
        <f t="shared" si="9"/>
        <v>27</v>
      </c>
      <c r="AA68">
        <f t="shared" si="9"/>
        <v>23</v>
      </c>
      <c r="AB68">
        <f t="shared" si="9"/>
        <v>8</v>
      </c>
      <c r="AC68">
        <f t="shared" si="9"/>
        <v>9</v>
      </c>
      <c r="AD68">
        <f t="shared" si="9"/>
        <v>21</v>
      </c>
    </row>
    <row r="69" spans="1:30" x14ac:dyDescent="0.2">
      <c r="A69" t="s">
        <v>263</v>
      </c>
      <c r="B69">
        <f>COUNTIF(B2:B66,"n/a")</f>
        <v>3</v>
      </c>
      <c r="C69">
        <f>COUNTIF(C2:C66,"n/a")</f>
        <v>2</v>
      </c>
      <c r="D69">
        <f>COUNTIF(D2:D66,"n/a")</f>
        <v>4</v>
      </c>
      <c r="E69">
        <f>COUNTIF(E2:E66,"n/a")</f>
        <v>2</v>
      </c>
      <c r="G69">
        <f t="shared" ref="G69:V69" si="10">COUNTIF(G2:G66,"n/a")</f>
        <v>11</v>
      </c>
      <c r="H69">
        <f t="shared" si="10"/>
        <v>26</v>
      </c>
      <c r="I69">
        <f t="shared" si="10"/>
        <v>26</v>
      </c>
      <c r="J69">
        <f t="shared" si="10"/>
        <v>31</v>
      </c>
      <c r="K69">
        <f t="shared" si="10"/>
        <v>58</v>
      </c>
      <c r="L69">
        <f t="shared" si="10"/>
        <v>45</v>
      </c>
      <c r="M69">
        <f t="shared" si="10"/>
        <v>63</v>
      </c>
      <c r="N69">
        <f t="shared" si="10"/>
        <v>63</v>
      </c>
      <c r="O69">
        <f t="shared" si="10"/>
        <v>63</v>
      </c>
      <c r="P69">
        <f t="shared" si="10"/>
        <v>55</v>
      </c>
      <c r="Q69">
        <f t="shared" si="10"/>
        <v>60</v>
      </c>
      <c r="R69">
        <f t="shared" si="10"/>
        <v>62</v>
      </c>
      <c r="S69">
        <f t="shared" si="10"/>
        <v>61</v>
      </c>
      <c r="T69">
        <f t="shared" si="10"/>
        <v>63</v>
      </c>
      <c r="U69">
        <f t="shared" si="10"/>
        <v>61</v>
      </c>
      <c r="V69">
        <f t="shared" si="10"/>
        <v>11</v>
      </c>
      <c r="W69"/>
      <c r="X69">
        <f>COUNTIF(X2:X66,"n/a")</f>
        <v>11</v>
      </c>
      <c r="Y69">
        <f>COUNTIF(Y2:Y66,"n/a")</f>
        <v>12</v>
      </c>
      <c r="Z69">
        <f>COUNTIF(Z2:Z66,"n/a")</f>
        <v>13</v>
      </c>
      <c r="AA69">
        <f>SUM(COUNTIFS(AA2:AA66,{"n/a","?"}))</f>
        <v>17</v>
      </c>
      <c r="AB69">
        <f>SUM(COUNTIFS(AB2:AB66,{"n/a","?"}))</f>
        <v>49</v>
      </c>
      <c r="AC69">
        <f>COUNTIF(AC2:AC66,"n/a")</f>
        <v>1</v>
      </c>
      <c r="AD69">
        <f>COUNTIF(AD2:AD66,"n/a")</f>
        <v>2</v>
      </c>
    </row>
    <row r="70" spans="1:30" x14ac:dyDescent="0.2">
      <c r="A70" t="s">
        <v>506</v>
      </c>
      <c r="G70">
        <f>G67+G68</f>
        <v>54</v>
      </c>
      <c r="H70">
        <f>H67+H68</f>
        <v>39</v>
      </c>
      <c r="I70">
        <f t="shared" ref="I70:U70" si="11">I67+I68</f>
        <v>39</v>
      </c>
      <c r="J70">
        <f t="shared" si="11"/>
        <v>34</v>
      </c>
      <c r="K70">
        <f t="shared" si="11"/>
        <v>7</v>
      </c>
      <c r="L70">
        <f t="shared" si="11"/>
        <v>20</v>
      </c>
      <c r="M70">
        <f t="shared" si="11"/>
        <v>2</v>
      </c>
      <c r="N70">
        <f t="shared" si="11"/>
        <v>2</v>
      </c>
      <c r="O70">
        <f t="shared" si="11"/>
        <v>2</v>
      </c>
      <c r="P70">
        <f t="shared" si="11"/>
        <v>10</v>
      </c>
      <c r="Q70">
        <f t="shared" si="11"/>
        <v>5</v>
      </c>
      <c r="R70">
        <f t="shared" si="11"/>
        <v>3</v>
      </c>
      <c r="S70">
        <f t="shared" si="11"/>
        <v>4</v>
      </c>
      <c r="T70">
        <f t="shared" si="11"/>
        <v>2</v>
      </c>
      <c r="U70">
        <f t="shared" si="11"/>
        <v>4</v>
      </c>
      <c r="W70"/>
    </row>
    <row r="71" spans="1:30" x14ac:dyDescent="0.2">
      <c r="A71" t="s">
        <v>264</v>
      </c>
      <c r="B71">
        <f>SUM(B67:B69)</f>
        <v>65</v>
      </c>
      <c r="C71">
        <f t="shared" ref="C71:G71" si="12">SUM(C67:C69)</f>
        <v>65</v>
      </c>
      <c r="D71">
        <f t="shared" si="12"/>
        <v>65</v>
      </c>
      <c r="E71">
        <f t="shared" si="12"/>
        <v>65</v>
      </c>
      <c r="G71">
        <f t="shared" si="12"/>
        <v>65</v>
      </c>
      <c r="H71">
        <f t="shared" ref="H71:AD71" si="13">SUM(H67:H69)</f>
        <v>65</v>
      </c>
      <c r="I71">
        <f t="shared" si="13"/>
        <v>65</v>
      </c>
      <c r="J71">
        <f t="shared" si="13"/>
        <v>65</v>
      </c>
      <c r="K71">
        <f t="shared" si="13"/>
        <v>65</v>
      </c>
      <c r="L71">
        <f t="shared" si="13"/>
        <v>65</v>
      </c>
      <c r="M71">
        <f t="shared" si="13"/>
        <v>65</v>
      </c>
      <c r="N71">
        <f t="shared" si="13"/>
        <v>65</v>
      </c>
      <c r="O71">
        <f t="shared" si="13"/>
        <v>65</v>
      </c>
      <c r="P71">
        <f t="shared" si="13"/>
        <v>65</v>
      </c>
      <c r="Q71">
        <f t="shared" si="13"/>
        <v>65</v>
      </c>
      <c r="R71">
        <f t="shared" si="13"/>
        <v>65</v>
      </c>
      <c r="S71">
        <f t="shared" si="13"/>
        <v>65</v>
      </c>
      <c r="T71">
        <f t="shared" si="13"/>
        <v>65</v>
      </c>
      <c r="U71">
        <f t="shared" si="13"/>
        <v>65</v>
      </c>
      <c r="V71">
        <f t="shared" si="13"/>
        <v>65</v>
      </c>
      <c r="W71">
        <f t="shared" si="13"/>
        <v>0</v>
      </c>
      <c r="X71">
        <f t="shared" si="13"/>
        <v>65</v>
      </c>
      <c r="Y71">
        <f t="shared" si="13"/>
        <v>65</v>
      </c>
      <c r="Z71">
        <f t="shared" si="13"/>
        <v>65</v>
      </c>
      <c r="AA71">
        <f t="shared" si="13"/>
        <v>65</v>
      </c>
      <c r="AB71">
        <f t="shared" si="13"/>
        <v>65</v>
      </c>
      <c r="AC71">
        <f t="shared" si="13"/>
        <v>65</v>
      </c>
      <c r="AD71">
        <f t="shared" si="13"/>
        <v>65</v>
      </c>
    </row>
    <row r="73" spans="1:30" x14ac:dyDescent="0.2">
      <c r="A73" t="s">
        <v>507</v>
      </c>
      <c r="B73" s="21">
        <f>B67/65</f>
        <v>0.89230769230769236</v>
      </c>
      <c r="C73" s="21">
        <f t="shared" ref="C73:AD73" si="14">C67/65</f>
        <v>0.8</v>
      </c>
      <c r="D73" s="21">
        <f t="shared" si="14"/>
        <v>0.43076923076923079</v>
      </c>
      <c r="E73" s="21">
        <f t="shared" si="14"/>
        <v>0.66153846153846152</v>
      </c>
      <c r="G73" s="21">
        <f>G67/G70</f>
        <v>0.61111111111111116</v>
      </c>
      <c r="H73" s="21">
        <f t="shared" ref="H73:U73" si="15">H67/H70</f>
        <v>0.66666666666666663</v>
      </c>
      <c r="I73" s="21">
        <f t="shared" si="15"/>
        <v>0.64102564102564108</v>
      </c>
      <c r="J73" s="21">
        <f t="shared" si="15"/>
        <v>0.67647058823529416</v>
      </c>
      <c r="K73" s="21">
        <f t="shared" si="15"/>
        <v>0.42857142857142855</v>
      </c>
      <c r="L73" s="21">
        <f t="shared" si="15"/>
        <v>0.75</v>
      </c>
      <c r="M73" s="21">
        <f t="shared" si="15"/>
        <v>0.5</v>
      </c>
      <c r="N73" s="21">
        <f t="shared" si="15"/>
        <v>1</v>
      </c>
      <c r="O73" s="21">
        <f t="shared" si="15"/>
        <v>0.5</v>
      </c>
      <c r="P73" s="21">
        <f t="shared" si="15"/>
        <v>0.8</v>
      </c>
      <c r="Q73" s="21">
        <f>Q67/Q70</f>
        <v>0.6</v>
      </c>
      <c r="R73" s="21">
        <f t="shared" si="15"/>
        <v>0.66666666666666663</v>
      </c>
      <c r="S73" s="21">
        <f t="shared" si="15"/>
        <v>1</v>
      </c>
      <c r="T73" s="21">
        <f t="shared" si="15"/>
        <v>1</v>
      </c>
      <c r="U73" s="21">
        <f t="shared" si="15"/>
        <v>0.25</v>
      </c>
      <c r="V73" s="21">
        <f t="shared" si="14"/>
        <v>0.24615384615384617</v>
      </c>
      <c r="W73" s="21"/>
      <c r="X73" s="21">
        <f t="shared" si="14"/>
        <v>0.47692307692307695</v>
      </c>
      <c r="Y73" s="21">
        <f t="shared" si="14"/>
        <v>0.36923076923076925</v>
      </c>
      <c r="Z73" s="21">
        <f t="shared" si="14"/>
        <v>0.38461538461538464</v>
      </c>
      <c r="AA73" s="21">
        <f t="shared" si="14"/>
        <v>0.38461538461538464</v>
      </c>
      <c r="AB73" s="21">
        <f t="shared" si="14"/>
        <v>0.12307692307692308</v>
      </c>
      <c r="AC73" s="21">
        <f t="shared" si="14"/>
        <v>0.84615384615384615</v>
      </c>
      <c r="AD73" s="21">
        <f t="shared" si="14"/>
        <v>0.64615384615384619</v>
      </c>
    </row>
    <row r="75" spans="1:30" x14ac:dyDescent="0.2">
      <c r="G75">
        <f>15/20</f>
        <v>0.75</v>
      </c>
    </row>
    <row r="79" spans="1:30" ht="17" x14ac:dyDescent="0.2">
      <c r="D79" t="s">
        <v>510</v>
      </c>
      <c r="F79" s="15" t="s">
        <v>511</v>
      </c>
    </row>
    <row r="80" spans="1:30" x14ac:dyDescent="0.2">
      <c r="F80" s="15">
        <f>25/65</f>
        <v>0.38461538461538464</v>
      </c>
    </row>
    <row r="81" spans="4:6" ht="17" x14ac:dyDescent="0.2">
      <c r="D81" t="s">
        <v>508</v>
      </c>
      <c r="F81" s="15" t="s">
        <v>509</v>
      </c>
    </row>
    <row r="82" spans="4:6" x14ac:dyDescent="0.2">
      <c r="F82" s="15">
        <f>34/65</f>
        <v>0.52307692307692311</v>
      </c>
    </row>
  </sheetData>
  <autoFilter ref="A1:A73" xr:uid="{3F0362C4-6BA1-234A-9C70-81E340A75E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28F5-5FA3-E74F-A541-CC8E1B3157BC}">
  <dimension ref="A1:O86"/>
  <sheetViews>
    <sheetView topLeftCell="F1" zoomScale="120" zoomScaleNormal="120" workbookViewId="0">
      <selection activeCell="B65" sqref="B65"/>
    </sheetView>
  </sheetViews>
  <sheetFormatPr baseColWidth="10" defaultColWidth="10.83203125" defaultRowHeight="14" x14ac:dyDescent="0.15"/>
  <cols>
    <col min="1" max="1" width="10.83203125" style="11"/>
    <col min="2" max="2" width="16" style="11" customWidth="1"/>
    <col min="3" max="3" width="10.33203125" style="11" customWidth="1"/>
    <col min="4" max="5" width="7.83203125" style="12" customWidth="1"/>
    <col min="6" max="6" width="10.83203125" style="13"/>
    <col min="7" max="7" width="14.1640625" style="11" customWidth="1"/>
    <col min="8" max="9" width="13.6640625" style="11" customWidth="1"/>
    <col min="10" max="10" width="11.5" style="11" customWidth="1"/>
    <col min="11" max="11" width="12.5" style="11" customWidth="1"/>
    <col min="12" max="12" width="18.6640625" style="11" customWidth="1"/>
    <col min="13" max="13" width="21.5" style="13" customWidth="1"/>
    <col min="14" max="14" width="13" style="11" customWidth="1"/>
    <col min="15" max="16384" width="10.83203125" style="11"/>
  </cols>
  <sheetData>
    <row r="1" spans="1:15" s="8" customFormat="1" x14ac:dyDescent="0.15">
      <c r="A1" s="8" t="s">
        <v>75</v>
      </c>
      <c r="B1" s="8" t="s">
        <v>7</v>
      </c>
      <c r="C1" s="8" t="s">
        <v>326</v>
      </c>
      <c r="D1" s="9" t="s">
        <v>327</v>
      </c>
      <c r="E1" s="9" t="s">
        <v>328</v>
      </c>
      <c r="F1" s="8" t="s">
        <v>329</v>
      </c>
      <c r="G1" s="8" t="s">
        <v>330</v>
      </c>
      <c r="H1" s="8" t="s">
        <v>331</v>
      </c>
      <c r="I1" s="8" t="s">
        <v>332</v>
      </c>
      <c r="J1" s="8" t="s">
        <v>333</v>
      </c>
      <c r="K1" s="8" t="s">
        <v>334</v>
      </c>
      <c r="L1" s="8" t="s">
        <v>335</v>
      </c>
      <c r="M1" s="8" t="s">
        <v>336</v>
      </c>
      <c r="N1" s="8" t="s">
        <v>337</v>
      </c>
      <c r="O1" s="8" t="s">
        <v>5</v>
      </c>
    </row>
    <row r="2" spans="1:15" x14ac:dyDescent="0.15">
      <c r="A2" s="11">
        <v>1</v>
      </c>
      <c r="B2" s="11" t="s">
        <v>338</v>
      </c>
      <c r="D2" s="12" t="s">
        <v>339</v>
      </c>
      <c r="E2" s="12">
        <v>8.5</v>
      </c>
      <c r="F2" s="13" t="s">
        <v>128</v>
      </c>
      <c r="G2" s="11" t="s">
        <v>340</v>
      </c>
      <c r="H2" s="11" t="s">
        <v>341</v>
      </c>
      <c r="I2" s="11" t="s">
        <v>341</v>
      </c>
      <c r="J2" s="11" t="s">
        <v>342</v>
      </c>
      <c r="K2" s="11" t="s">
        <v>386</v>
      </c>
      <c r="L2" s="10">
        <v>42861</v>
      </c>
      <c r="M2" s="13" t="s">
        <v>343</v>
      </c>
      <c r="N2" s="11" t="s">
        <v>344</v>
      </c>
    </row>
    <row r="3" spans="1:15" x14ac:dyDescent="0.15">
      <c r="A3" s="11">
        <v>2</v>
      </c>
      <c r="B3" s="11" t="s">
        <v>345</v>
      </c>
      <c r="D3" s="12">
        <v>7</v>
      </c>
      <c r="E3" s="12">
        <v>7</v>
      </c>
      <c r="F3" s="13" t="s">
        <v>128</v>
      </c>
      <c r="G3" s="11" t="s">
        <v>340</v>
      </c>
      <c r="H3" s="11" t="s">
        <v>341</v>
      </c>
      <c r="I3" s="11" t="s">
        <v>341</v>
      </c>
      <c r="J3" s="11" t="s">
        <v>342</v>
      </c>
      <c r="K3" s="11" t="s">
        <v>346</v>
      </c>
      <c r="L3" s="10">
        <v>42861</v>
      </c>
      <c r="M3" s="13" t="s">
        <v>343</v>
      </c>
      <c r="N3" s="11" t="s">
        <v>344</v>
      </c>
    </row>
    <row r="4" spans="1:15" x14ac:dyDescent="0.15">
      <c r="A4" s="11">
        <v>3</v>
      </c>
      <c r="B4" s="11" t="s">
        <v>347</v>
      </c>
      <c r="D4" s="12" t="s">
        <v>348</v>
      </c>
      <c r="E4" s="12">
        <v>5.5</v>
      </c>
      <c r="F4" s="13" t="s">
        <v>128</v>
      </c>
      <c r="G4" s="11" t="s">
        <v>340</v>
      </c>
      <c r="H4" s="11" t="s">
        <v>341</v>
      </c>
      <c r="I4" s="11" t="s">
        <v>341</v>
      </c>
      <c r="J4" s="11" t="s">
        <v>342</v>
      </c>
      <c r="K4" s="11" t="s">
        <v>346</v>
      </c>
      <c r="L4" s="10">
        <v>42861</v>
      </c>
      <c r="M4" s="13" t="s">
        <v>343</v>
      </c>
      <c r="N4" s="11" t="s">
        <v>344</v>
      </c>
    </row>
    <row r="5" spans="1:15" x14ac:dyDescent="0.15">
      <c r="A5" s="11">
        <v>4</v>
      </c>
      <c r="B5" s="11" t="s">
        <v>349</v>
      </c>
      <c r="D5" s="12" t="s">
        <v>350</v>
      </c>
      <c r="E5" s="12">
        <v>2.5</v>
      </c>
      <c r="F5" s="13" t="s">
        <v>276</v>
      </c>
      <c r="G5" s="11" t="s">
        <v>340</v>
      </c>
      <c r="H5" s="11" t="s">
        <v>341</v>
      </c>
      <c r="I5" s="11" t="s">
        <v>341</v>
      </c>
      <c r="J5" s="11" t="s">
        <v>342</v>
      </c>
      <c r="K5" s="11" t="s">
        <v>346</v>
      </c>
      <c r="L5" s="10">
        <v>42861</v>
      </c>
      <c r="M5" s="13" t="s">
        <v>343</v>
      </c>
      <c r="N5" s="11" t="s">
        <v>344</v>
      </c>
    </row>
    <row r="6" spans="1:15" x14ac:dyDescent="0.15">
      <c r="A6" s="11">
        <v>5</v>
      </c>
      <c r="B6" s="11" t="s">
        <v>353</v>
      </c>
      <c r="C6" s="12" t="s">
        <v>354</v>
      </c>
      <c r="D6" s="12">
        <v>10</v>
      </c>
      <c r="E6" s="12">
        <v>10</v>
      </c>
      <c r="F6" s="13" t="s">
        <v>128</v>
      </c>
      <c r="G6" s="11" t="s">
        <v>355</v>
      </c>
      <c r="H6" s="11" t="s">
        <v>356</v>
      </c>
      <c r="I6" s="11" t="s">
        <v>356</v>
      </c>
      <c r="J6" s="11" t="s">
        <v>342</v>
      </c>
      <c r="K6" s="11" t="s">
        <v>386</v>
      </c>
      <c r="L6" s="10">
        <v>42883</v>
      </c>
      <c r="M6" s="13" t="s">
        <v>343</v>
      </c>
      <c r="N6" s="11" t="s">
        <v>344</v>
      </c>
      <c r="O6" s="11" t="s">
        <v>357</v>
      </c>
    </row>
    <row r="7" spans="1:15" x14ac:dyDescent="0.15">
      <c r="A7" s="11">
        <v>6</v>
      </c>
      <c r="B7" s="11" t="s">
        <v>358</v>
      </c>
      <c r="C7" s="12" t="s">
        <v>359</v>
      </c>
      <c r="D7" s="12">
        <v>9</v>
      </c>
      <c r="E7" s="12">
        <v>9</v>
      </c>
      <c r="F7" s="13" t="s">
        <v>128</v>
      </c>
      <c r="G7" s="11" t="s">
        <v>355</v>
      </c>
      <c r="H7" s="11" t="s">
        <v>356</v>
      </c>
      <c r="I7" s="11" t="s">
        <v>356</v>
      </c>
      <c r="J7" s="11" t="s">
        <v>342</v>
      </c>
      <c r="K7" s="11" t="s">
        <v>386</v>
      </c>
      <c r="L7" s="10">
        <v>42883</v>
      </c>
      <c r="M7" s="13" t="s">
        <v>343</v>
      </c>
      <c r="N7" s="11" t="s">
        <v>344</v>
      </c>
      <c r="O7" s="11" t="s">
        <v>360</v>
      </c>
    </row>
    <row r="8" spans="1:15" x14ac:dyDescent="0.15">
      <c r="A8" s="11">
        <v>7</v>
      </c>
      <c r="B8" s="11" t="s">
        <v>361</v>
      </c>
      <c r="C8" s="12" t="s">
        <v>362</v>
      </c>
      <c r="D8" s="12" t="s">
        <v>363</v>
      </c>
      <c r="E8" s="12">
        <v>6.5</v>
      </c>
      <c r="F8" s="13" t="s">
        <v>128</v>
      </c>
      <c r="G8" s="11" t="s">
        <v>355</v>
      </c>
      <c r="H8" s="11" t="s">
        <v>356</v>
      </c>
      <c r="I8" s="11" t="s">
        <v>356</v>
      </c>
      <c r="J8" s="11" t="s">
        <v>342</v>
      </c>
      <c r="K8" s="11" t="s">
        <v>346</v>
      </c>
      <c r="L8" s="10">
        <v>42883</v>
      </c>
      <c r="M8" s="13" t="s">
        <v>343</v>
      </c>
      <c r="N8" s="11" t="s">
        <v>344</v>
      </c>
      <c r="O8" s="11" t="s">
        <v>364</v>
      </c>
    </row>
    <row r="9" spans="1:15" x14ac:dyDescent="0.15">
      <c r="A9" s="11">
        <v>8</v>
      </c>
      <c r="B9" s="11" t="s">
        <v>365</v>
      </c>
      <c r="D9" s="12">
        <v>7</v>
      </c>
      <c r="E9" s="12">
        <v>7</v>
      </c>
      <c r="F9" s="13" t="s">
        <v>276</v>
      </c>
      <c r="G9" s="11" t="s">
        <v>366</v>
      </c>
      <c r="H9" s="11" t="s">
        <v>356</v>
      </c>
      <c r="I9" s="11" t="s">
        <v>356</v>
      </c>
      <c r="K9" s="11" t="s">
        <v>346</v>
      </c>
      <c r="L9" s="10">
        <v>42883</v>
      </c>
      <c r="M9" s="13" t="s">
        <v>343</v>
      </c>
      <c r="N9" s="11" t="s">
        <v>344</v>
      </c>
    </row>
    <row r="10" spans="1:15" x14ac:dyDescent="0.15">
      <c r="A10" s="11">
        <v>9</v>
      </c>
      <c r="B10" s="11" t="s">
        <v>367</v>
      </c>
      <c r="D10" s="12">
        <v>4</v>
      </c>
      <c r="E10" s="12">
        <v>4</v>
      </c>
      <c r="F10" s="13" t="s">
        <v>128</v>
      </c>
      <c r="G10" s="11" t="s">
        <v>366</v>
      </c>
      <c r="H10" s="11" t="s">
        <v>356</v>
      </c>
      <c r="I10" s="11" t="s">
        <v>356</v>
      </c>
      <c r="K10" s="11" t="s">
        <v>346</v>
      </c>
      <c r="L10" s="10">
        <v>42883</v>
      </c>
      <c r="M10" s="13" t="s">
        <v>343</v>
      </c>
      <c r="N10" s="11" t="s">
        <v>344</v>
      </c>
    </row>
    <row r="11" spans="1:15" x14ac:dyDescent="0.15">
      <c r="A11" s="11">
        <v>10</v>
      </c>
      <c r="B11" s="11" t="s">
        <v>368</v>
      </c>
      <c r="D11" s="12">
        <v>10</v>
      </c>
      <c r="E11" s="12">
        <v>10</v>
      </c>
      <c r="F11" s="13" t="s">
        <v>276</v>
      </c>
      <c r="G11" s="11" t="s">
        <v>369</v>
      </c>
      <c r="H11" s="11" t="s">
        <v>356</v>
      </c>
      <c r="I11" s="11" t="s">
        <v>356</v>
      </c>
      <c r="K11" s="11" t="s">
        <v>346</v>
      </c>
      <c r="L11" s="10">
        <v>42883</v>
      </c>
    </row>
    <row r="12" spans="1:15" x14ac:dyDescent="0.15">
      <c r="A12" s="11">
        <v>11</v>
      </c>
      <c r="B12" s="11" t="s">
        <v>370</v>
      </c>
      <c r="D12" s="12">
        <v>7</v>
      </c>
      <c r="E12" s="12">
        <v>7</v>
      </c>
      <c r="F12" s="13" t="s">
        <v>276</v>
      </c>
      <c r="G12" s="11" t="s">
        <v>369</v>
      </c>
      <c r="H12" s="11" t="s">
        <v>356</v>
      </c>
      <c r="I12" s="11" t="s">
        <v>356</v>
      </c>
      <c r="K12" s="11" t="s">
        <v>371</v>
      </c>
      <c r="L12" s="10">
        <v>42883</v>
      </c>
    </row>
    <row r="13" spans="1:15" x14ac:dyDescent="0.15">
      <c r="A13" s="11">
        <v>12</v>
      </c>
      <c r="B13" s="11" t="s">
        <v>372</v>
      </c>
      <c r="D13" s="12">
        <v>4</v>
      </c>
      <c r="E13" s="12">
        <v>4</v>
      </c>
      <c r="F13" s="13" t="s">
        <v>128</v>
      </c>
      <c r="G13" s="11" t="s">
        <v>369</v>
      </c>
      <c r="H13" s="11" t="s">
        <v>356</v>
      </c>
      <c r="I13" s="11" t="s">
        <v>356</v>
      </c>
      <c r="K13" s="11" t="s">
        <v>346</v>
      </c>
      <c r="L13" s="10">
        <v>42883</v>
      </c>
    </row>
    <row r="14" spans="1:15" ht="15" x14ac:dyDescent="0.2">
      <c r="A14" s="11">
        <v>13</v>
      </c>
      <c r="B14" s="11" t="s">
        <v>373</v>
      </c>
      <c r="C14" s="12" t="s">
        <v>374</v>
      </c>
      <c r="D14" s="12" t="s">
        <v>339</v>
      </c>
      <c r="E14" s="25">
        <v>8.5</v>
      </c>
      <c r="F14" s="13" t="s">
        <v>128</v>
      </c>
      <c r="G14" s="11" t="s">
        <v>375</v>
      </c>
      <c r="H14" s="11" t="s">
        <v>356</v>
      </c>
      <c r="I14" s="11" t="s">
        <v>356</v>
      </c>
      <c r="K14" s="11" t="s">
        <v>346</v>
      </c>
      <c r="L14" s="7">
        <v>42897</v>
      </c>
    </row>
    <row r="15" spans="1:15" ht="15" x14ac:dyDescent="0.2">
      <c r="A15" s="11">
        <v>14</v>
      </c>
      <c r="B15" s="11" t="s">
        <v>376</v>
      </c>
      <c r="C15" s="12" t="s">
        <v>374</v>
      </c>
      <c r="D15" s="12" t="s">
        <v>339</v>
      </c>
      <c r="E15" s="25">
        <v>8.5</v>
      </c>
      <c r="F15" s="13" t="s">
        <v>276</v>
      </c>
      <c r="G15" s="11" t="s">
        <v>375</v>
      </c>
      <c r="H15" s="11" t="s">
        <v>356</v>
      </c>
      <c r="I15" s="11" t="s">
        <v>356</v>
      </c>
      <c r="K15" s="11" t="s">
        <v>346</v>
      </c>
      <c r="L15" s="7">
        <v>42897</v>
      </c>
    </row>
    <row r="16" spans="1:15" ht="15" x14ac:dyDescent="0.2">
      <c r="A16" s="11">
        <v>15</v>
      </c>
      <c r="B16" s="11" t="s">
        <v>377</v>
      </c>
      <c r="C16" s="12" t="s">
        <v>378</v>
      </c>
      <c r="D16" s="12" t="s">
        <v>363</v>
      </c>
      <c r="E16" s="25">
        <v>6.5</v>
      </c>
      <c r="F16" s="13" t="s">
        <v>276</v>
      </c>
      <c r="G16" s="11" t="s">
        <v>375</v>
      </c>
      <c r="H16" s="11" t="s">
        <v>356</v>
      </c>
      <c r="I16" s="11" t="s">
        <v>356</v>
      </c>
      <c r="K16" s="11" t="s">
        <v>346</v>
      </c>
      <c r="L16" s="7">
        <v>42897</v>
      </c>
    </row>
    <row r="17" spans="1:14" ht="15" x14ac:dyDescent="0.2">
      <c r="A17" s="11">
        <v>16</v>
      </c>
      <c r="B17" s="11" t="s">
        <v>379</v>
      </c>
      <c r="C17" s="12" t="s">
        <v>380</v>
      </c>
      <c r="D17" s="12" t="s">
        <v>381</v>
      </c>
      <c r="E17" s="25">
        <v>3</v>
      </c>
      <c r="F17" s="13" t="s">
        <v>276</v>
      </c>
      <c r="G17" s="11" t="s">
        <v>375</v>
      </c>
      <c r="H17" s="11" t="s">
        <v>356</v>
      </c>
      <c r="I17" s="11" t="s">
        <v>356</v>
      </c>
      <c r="K17" s="11" t="s">
        <v>346</v>
      </c>
      <c r="L17" s="7">
        <v>42897</v>
      </c>
    </row>
    <row r="18" spans="1:14" ht="15" x14ac:dyDescent="0.2">
      <c r="A18" s="11">
        <v>17</v>
      </c>
      <c r="B18" s="11" t="s">
        <v>382</v>
      </c>
      <c r="C18" s="12" t="s">
        <v>383</v>
      </c>
      <c r="D18" s="12" t="s">
        <v>384</v>
      </c>
      <c r="E18" s="25">
        <v>9.5</v>
      </c>
      <c r="F18" s="13" t="s">
        <v>276</v>
      </c>
      <c r="G18" s="11" t="s">
        <v>385</v>
      </c>
      <c r="H18" s="11" t="s">
        <v>356</v>
      </c>
      <c r="I18" s="11" t="s">
        <v>356</v>
      </c>
      <c r="K18" s="11" t="s">
        <v>386</v>
      </c>
      <c r="L18" s="7">
        <v>42897</v>
      </c>
    </row>
    <row r="19" spans="1:14" ht="15" x14ac:dyDescent="0.2">
      <c r="A19" s="11">
        <v>18</v>
      </c>
      <c r="B19" s="11" t="s">
        <v>387</v>
      </c>
      <c r="C19" s="12">
        <v>2011</v>
      </c>
      <c r="D19" s="12">
        <v>6</v>
      </c>
      <c r="E19" s="25">
        <v>6</v>
      </c>
      <c r="F19" s="13" t="s">
        <v>128</v>
      </c>
      <c r="G19" s="11" t="s">
        <v>385</v>
      </c>
      <c r="H19" s="11" t="s">
        <v>356</v>
      </c>
      <c r="I19" s="11" t="s">
        <v>356</v>
      </c>
      <c r="K19" s="11" t="s">
        <v>371</v>
      </c>
      <c r="L19" s="7">
        <v>42897</v>
      </c>
    </row>
    <row r="20" spans="1:14" ht="15" x14ac:dyDescent="0.2">
      <c r="A20" s="11">
        <v>19</v>
      </c>
      <c r="B20" s="11" t="s">
        <v>388</v>
      </c>
      <c r="C20" s="12" t="s">
        <v>389</v>
      </c>
      <c r="D20" s="12" t="s">
        <v>390</v>
      </c>
      <c r="E20" s="25">
        <v>9</v>
      </c>
      <c r="F20" s="13" t="s">
        <v>276</v>
      </c>
      <c r="G20" s="11" t="s">
        <v>385</v>
      </c>
      <c r="H20" s="11" t="s">
        <v>356</v>
      </c>
      <c r="I20" s="11" t="s">
        <v>356</v>
      </c>
      <c r="K20" s="11" t="s">
        <v>371</v>
      </c>
      <c r="L20" s="7">
        <v>42897</v>
      </c>
    </row>
    <row r="21" spans="1:14" ht="15" x14ac:dyDescent="0.2">
      <c r="A21" s="11">
        <v>20</v>
      </c>
      <c r="B21" s="11" t="s">
        <v>373</v>
      </c>
      <c r="C21" s="12" t="s">
        <v>391</v>
      </c>
      <c r="D21" s="12" t="s">
        <v>392</v>
      </c>
      <c r="E21" s="25">
        <v>7</v>
      </c>
      <c r="F21" s="13" t="s">
        <v>128</v>
      </c>
      <c r="G21" s="11" t="s">
        <v>385</v>
      </c>
      <c r="H21" s="11" t="s">
        <v>356</v>
      </c>
      <c r="I21" s="11" t="s">
        <v>356</v>
      </c>
      <c r="K21" s="11" t="s">
        <v>371</v>
      </c>
      <c r="L21" s="7">
        <v>42897</v>
      </c>
    </row>
    <row r="22" spans="1:14" ht="15" x14ac:dyDescent="0.2">
      <c r="A22" s="11">
        <v>21</v>
      </c>
      <c r="B22" s="11" t="s">
        <v>393</v>
      </c>
      <c r="C22" s="12">
        <v>2012</v>
      </c>
      <c r="D22" s="12">
        <v>5</v>
      </c>
      <c r="E22" s="25">
        <v>5</v>
      </c>
      <c r="F22" s="13" t="s">
        <v>128</v>
      </c>
      <c r="G22" s="11" t="s">
        <v>385</v>
      </c>
      <c r="H22" s="11" t="s">
        <v>356</v>
      </c>
      <c r="I22" s="11" t="s">
        <v>356</v>
      </c>
      <c r="K22" s="11" t="s">
        <v>346</v>
      </c>
      <c r="L22" s="7">
        <v>42897</v>
      </c>
    </row>
    <row r="23" spans="1:14" ht="15" x14ac:dyDescent="0.2">
      <c r="A23" s="11">
        <v>22</v>
      </c>
      <c r="B23" s="11" t="s">
        <v>394</v>
      </c>
      <c r="C23" s="12" t="s">
        <v>395</v>
      </c>
      <c r="D23" s="12" t="s">
        <v>348</v>
      </c>
      <c r="E23" s="25">
        <v>5.5</v>
      </c>
      <c r="F23" s="13" t="s">
        <v>276</v>
      </c>
      <c r="G23" s="11" t="s">
        <v>385</v>
      </c>
      <c r="H23" s="11" t="s">
        <v>356</v>
      </c>
      <c r="I23" s="11" t="s">
        <v>356</v>
      </c>
      <c r="K23" s="11" t="s">
        <v>346</v>
      </c>
      <c r="L23" s="7">
        <v>42897</v>
      </c>
    </row>
    <row r="24" spans="1:14" ht="15" x14ac:dyDescent="0.2">
      <c r="A24" s="11">
        <v>23</v>
      </c>
      <c r="B24" s="11" t="s">
        <v>396</v>
      </c>
      <c r="C24" s="12" t="s">
        <v>397</v>
      </c>
      <c r="D24" s="12" t="s">
        <v>398</v>
      </c>
      <c r="E24" s="25">
        <v>6.5</v>
      </c>
      <c r="F24" s="13" t="s">
        <v>128</v>
      </c>
      <c r="G24" s="11" t="s">
        <v>351</v>
      </c>
      <c r="H24" s="11" t="s">
        <v>352</v>
      </c>
      <c r="I24" s="11" t="s">
        <v>352</v>
      </c>
      <c r="K24" s="11" t="s">
        <v>346</v>
      </c>
      <c r="L24" s="7">
        <v>42913</v>
      </c>
      <c r="N24" s="11" t="s">
        <v>399</v>
      </c>
    </row>
    <row r="25" spans="1:14" ht="15" x14ac:dyDescent="0.2">
      <c r="A25" s="11">
        <v>24</v>
      </c>
      <c r="B25" s="11" t="s">
        <v>400</v>
      </c>
      <c r="C25" s="12" t="s">
        <v>401</v>
      </c>
      <c r="D25" s="12" t="s">
        <v>402</v>
      </c>
      <c r="E25" s="25">
        <v>10.5</v>
      </c>
      <c r="F25" s="13" t="s">
        <v>128</v>
      </c>
      <c r="G25" s="11" t="s">
        <v>351</v>
      </c>
      <c r="H25" s="11" t="s">
        <v>352</v>
      </c>
      <c r="I25" s="11" t="s">
        <v>352</v>
      </c>
      <c r="K25" s="11" t="s">
        <v>346</v>
      </c>
      <c r="L25" s="7">
        <v>42915</v>
      </c>
      <c r="N25" s="11" t="s">
        <v>399</v>
      </c>
    </row>
    <row r="26" spans="1:14" ht="15" x14ac:dyDescent="0.2">
      <c r="A26" s="11">
        <v>25</v>
      </c>
      <c r="B26" s="11" t="s">
        <v>403</v>
      </c>
      <c r="C26" s="12">
        <v>2004</v>
      </c>
      <c r="D26" s="12">
        <v>13</v>
      </c>
      <c r="E26" s="25">
        <v>13</v>
      </c>
      <c r="F26" s="13" t="s">
        <v>276</v>
      </c>
      <c r="G26" s="11" t="s">
        <v>351</v>
      </c>
      <c r="H26" s="11" t="s">
        <v>352</v>
      </c>
      <c r="I26" s="11" t="s">
        <v>352</v>
      </c>
      <c r="K26" s="11" t="s">
        <v>346</v>
      </c>
      <c r="L26" s="7">
        <v>42913</v>
      </c>
      <c r="N26" s="11" t="s">
        <v>399</v>
      </c>
    </row>
    <row r="27" spans="1:14" ht="15" x14ac:dyDescent="0.2">
      <c r="A27" s="11">
        <v>26</v>
      </c>
      <c r="B27" s="11" t="s">
        <v>404</v>
      </c>
      <c r="C27" s="12">
        <v>2006</v>
      </c>
      <c r="D27" s="12">
        <v>11</v>
      </c>
      <c r="E27" s="25">
        <v>11</v>
      </c>
      <c r="F27" s="13" t="s">
        <v>128</v>
      </c>
      <c r="G27" s="11" t="s">
        <v>351</v>
      </c>
      <c r="H27" s="11" t="s">
        <v>352</v>
      </c>
      <c r="I27" s="11" t="s">
        <v>352</v>
      </c>
      <c r="K27" s="11" t="s">
        <v>449</v>
      </c>
      <c r="L27" s="7">
        <v>42914</v>
      </c>
      <c r="N27" s="11" t="s">
        <v>399</v>
      </c>
    </row>
    <row r="28" spans="1:14" ht="15" x14ac:dyDescent="0.2">
      <c r="A28" s="11">
        <v>27</v>
      </c>
      <c r="B28" s="11" t="s">
        <v>405</v>
      </c>
      <c r="C28" s="12">
        <v>2008</v>
      </c>
      <c r="D28" s="12">
        <v>9</v>
      </c>
      <c r="E28" s="25">
        <v>9</v>
      </c>
      <c r="F28" s="13" t="s">
        <v>276</v>
      </c>
      <c r="G28" s="11" t="s">
        <v>351</v>
      </c>
      <c r="H28" s="11" t="s">
        <v>352</v>
      </c>
      <c r="I28" s="11" t="s">
        <v>352</v>
      </c>
      <c r="K28" s="11" t="s">
        <v>346</v>
      </c>
      <c r="L28" s="7">
        <v>42914</v>
      </c>
      <c r="N28" s="11" t="s">
        <v>399</v>
      </c>
    </row>
    <row r="29" spans="1:14" ht="15" x14ac:dyDescent="0.2">
      <c r="A29" s="11">
        <v>28</v>
      </c>
      <c r="B29" s="11" t="s">
        <v>406</v>
      </c>
      <c r="D29" s="12">
        <v>11</v>
      </c>
      <c r="E29" s="25">
        <v>11</v>
      </c>
      <c r="F29" s="13" t="s">
        <v>276</v>
      </c>
      <c r="G29" s="11" t="s">
        <v>407</v>
      </c>
      <c r="H29" s="11" t="s">
        <v>352</v>
      </c>
      <c r="I29" s="11" t="s">
        <v>352</v>
      </c>
      <c r="K29" s="11" t="s">
        <v>346</v>
      </c>
      <c r="L29" s="7">
        <v>42924</v>
      </c>
      <c r="N29" s="11" t="s">
        <v>399</v>
      </c>
    </row>
    <row r="30" spans="1:14" ht="15" x14ac:dyDescent="0.2">
      <c r="A30" s="11">
        <v>29</v>
      </c>
      <c r="B30" s="11" t="s">
        <v>408</v>
      </c>
      <c r="D30" s="12" t="s">
        <v>409</v>
      </c>
      <c r="E30" s="25">
        <v>8.5</v>
      </c>
      <c r="F30" s="13" t="s">
        <v>276</v>
      </c>
      <c r="G30" s="11" t="s">
        <v>410</v>
      </c>
      <c r="H30" s="11" t="s">
        <v>352</v>
      </c>
      <c r="I30" s="11" t="s">
        <v>352</v>
      </c>
      <c r="K30" s="11" t="s">
        <v>346</v>
      </c>
      <c r="L30" s="7">
        <v>42921</v>
      </c>
      <c r="N30" s="11" t="s">
        <v>399</v>
      </c>
    </row>
    <row r="31" spans="1:14" ht="15" x14ac:dyDescent="0.2">
      <c r="A31" s="11">
        <v>30</v>
      </c>
      <c r="B31" s="11" t="s">
        <v>411</v>
      </c>
      <c r="D31" s="12" t="s">
        <v>412</v>
      </c>
      <c r="E31" s="25">
        <v>5.5</v>
      </c>
      <c r="F31" s="13" t="s">
        <v>276</v>
      </c>
      <c r="G31" s="11" t="s">
        <v>410</v>
      </c>
      <c r="H31" s="11" t="s">
        <v>352</v>
      </c>
      <c r="I31" s="11" t="s">
        <v>352</v>
      </c>
      <c r="K31" s="11" t="s">
        <v>346</v>
      </c>
      <c r="L31" s="7">
        <v>42921</v>
      </c>
      <c r="N31" s="11" t="s">
        <v>399</v>
      </c>
    </row>
    <row r="32" spans="1:14" ht="15" x14ac:dyDescent="0.2">
      <c r="A32" s="11">
        <v>31</v>
      </c>
      <c r="B32" s="11" t="s">
        <v>413</v>
      </c>
      <c r="D32" s="12">
        <v>13</v>
      </c>
      <c r="E32" s="25">
        <v>13</v>
      </c>
      <c r="F32" s="13" t="s">
        <v>128</v>
      </c>
      <c r="G32" s="11" t="s">
        <v>410</v>
      </c>
      <c r="H32" s="11" t="s">
        <v>352</v>
      </c>
      <c r="I32" s="11" t="s">
        <v>352</v>
      </c>
      <c r="K32" s="11" t="s">
        <v>449</v>
      </c>
      <c r="L32" s="7">
        <v>42921</v>
      </c>
      <c r="N32" s="11" t="s">
        <v>399</v>
      </c>
    </row>
    <row r="33" spans="1:14" ht="15" x14ac:dyDescent="0.2">
      <c r="A33" s="11">
        <v>32</v>
      </c>
      <c r="B33" s="11" t="s">
        <v>414</v>
      </c>
      <c r="D33" s="12" t="s">
        <v>415</v>
      </c>
      <c r="E33" s="25">
        <v>11.5</v>
      </c>
      <c r="F33" s="13" t="s">
        <v>276</v>
      </c>
      <c r="G33" s="11" t="s">
        <v>416</v>
      </c>
      <c r="H33" s="11" t="s">
        <v>352</v>
      </c>
      <c r="I33" s="11" t="s">
        <v>352</v>
      </c>
      <c r="K33" s="11" t="s">
        <v>386</v>
      </c>
      <c r="L33" s="7">
        <v>42916</v>
      </c>
      <c r="N33" s="11" t="s">
        <v>399</v>
      </c>
    </row>
    <row r="34" spans="1:14" ht="15" x14ac:dyDescent="0.2">
      <c r="A34" s="11">
        <v>33</v>
      </c>
      <c r="B34" s="11" t="s">
        <v>417</v>
      </c>
      <c r="C34" s="12" t="s">
        <v>418</v>
      </c>
      <c r="D34" s="12">
        <v>8</v>
      </c>
      <c r="E34" s="25">
        <v>8</v>
      </c>
      <c r="F34" s="13" t="s">
        <v>276</v>
      </c>
      <c r="G34" s="11" t="s">
        <v>419</v>
      </c>
      <c r="H34" s="11" t="s">
        <v>352</v>
      </c>
      <c r="I34" s="11" t="s">
        <v>352</v>
      </c>
      <c r="K34" s="11" t="s">
        <v>420</v>
      </c>
      <c r="L34" s="7">
        <v>42955</v>
      </c>
      <c r="N34" s="11" t="s">
        <v>399</v>
      </c>
    </row>
    <row r="35" spans="1:14" ht="15" x14ac:dyDescent="0.2">
      <c r="A35" s="11">
        <v>34</v>
      </c>
      <c r="B35" s="11" t="s">
        <v>421</v>
      </c>
      <c r="D35" s="12">
        <v>5</v>
      </c>
      <c r="E35" s="25">
        <v>5</v>
      </c>
      <c r="F35" s="13" t="s">
        <v>128</v>
      </c>
      <c r="G35" s="11" t="s">
        <v>419</v>
      </c>
      <c r="H35" s="11" t="s">
        <v>352</v>
      </c>
      <c r="I35" s="11" t="s">
        <v>352</v>
      </c>
      <c r="K35" s="11" t="s">
        <v>346</v>
      </c>
      <c r="L35" s="7">
        <v>42955</v>
      </c>
      <c r="N35" s="11" t="s">
        <v>399</v>
      </c>
    </row>
    <row r="36" spans="1:14" ht="15" x14ac:dyDescent="0.2">
      <c r="A36" s="11">
        <v>35</v>
      </c>
      <c r="B36" s="11" t="s">
        <v>422</v>
      </c>
      <c r="D36" s="12">
        <v>9</v>
      </c>
      <c r="E36" s="25">
        <v>9</v>
      </c>
      <c r="F36" s="13" t="s">
        <v>276</v>
      </c>
      <c r="G36" s="11" t="s">
        <v>423</v>
      </c>
      <c r="H36" s="11" t="s">
        <v>352</v>
      </c>
      <c r="I36" s="11" t="s">
        <v>352</v>
      </c>
      <c r="K36" s="11" t="s">
        <v>346</v>
      </c>
      <c r="L36" s="7">
        <v>42955</v>
      </c>
      <c r="N36" s="11" t="s">
        <v>399</v>
      </c>
    </row>
    <row r="37" spans="1:14" ht="15" x14ac:dyDescent="0.2">
      <c r="A37" s="11">
        <v>36</v>
      </c>
      <c r="B37" s="11" t="s">
        <v>424</v>
      </c>
      <c r="D37" s="12">
        <v>7</v>
      </c>
      <c r="E37" s="25">
        <v>7</v>
      </c>
      <c r="F37" s="13" t="s">
        <v>128</v>
      </c>
      <c r="G37" s="11" t="s">
        <v>423</v>
      </c>
      <c r="H37" s="11" t="s">
        <v>352</v>
      </c>
      <c r="I37" s="11" t="s">
        <v>352</v>
      </c>
      <c r="K37" s="11" t="s">
        <v>371</v>
      </c>
      <c r="L37" s="7">
        <v>42955</v>
      </c>
      <c r="N37" s="11" t="s">
        <v>399</v>
      </c>
    </row>
    <row r="38" spans="1:14" ht="15" x14ac:dyDescent="0.2">
      <c r="A38" s="11">
        <v>37</v>
      </c>
      <c r="B38" s="11" t="s">
        <v>425</v>
      </c>
      <c r="D38" s="12" t="s">
        <v>426</v>
      </c>
      <c r="E38" s="25">
        <v>11</v>
      </c>
      <c r="F38" s="13" t="s">
        <v>128</v>
      </c>
      <c r="G38" s="11" t="s">
        <v>427</v>
      </c>
      <c r="H38" s="11" t="s">
        <v>352</v>
      </c>
      <c r="I38" s="11" t="s">
        <v>352</v>
      </c>
      <c r="K38" s="11" t="s">
        <v>346</v>
      </c>
      <c r="L38" s="7">
        <v>42956</v>
      </c>
      <c r="N38" s="11" t="s">
        <v>399</v>
      </c>
    </row>
    <row r="39" spans="1:14" ht="15" x14ac:dyDescent="0.2">
      <c r="A39" s="11">
        <v>38</v>
      </c>
      <c r="B39" s="11" t="s">
        <v>428</v>
      </c>
      <c r="D39" s="12" t="s">
        <v>409</v>
      </c>
      <c r="E39" s="25">
        <v>8.5</v>
      </c>
      <c r="F39" s="13" t="s">
        <v>276</v>
      </c>
      <c r="G39" s="11" t="s">
        <v>429</v>
      </c>
      <c r="H39" s="11" t="s">
        <v>352</v>
      </c>
      <c r="I39" s="11" t="s">
        <v>352</v>
      </c>
      <c r="K39" s="11" t="s">
        <v>371</v>
      </c>
      <c r="L39" s="7">
        <v>43012</v>
      </c>
      <c r="N39" s="11" t="s">
        <v>399</v>
      </c>
    </row>
    <row r="40" spans="1:14" ht="15" x14ac:dyDescent="0.2">
      <c r="A40" s="11">
        <v>39</v>
      </c>
      <c r="B40" s="11" t="s">
        <v>430</v>
      </c>
      <c r="D40" s="12">
        <v>7</v>
      </c>
      <c r="E40" s="25">
        <v>7</v>
      </c>
      <c r="F40" s="13" t="s">
        <v>128</v>
      </c>
      <c r="G40" s="11" t="s">
        <v>429</v>
      </c>
      <c r="H40" s="11" t="s">
        <v>352</v>
      </c>
      <c r="I40" s="11" t="s">
        <v>352</v>
      </c>
      <c r="K40" s="11" t="s">
        <v>346</v>
      </c>
      <c r="L40" s="7">
        <v>43012</v>
      </c>
      <c r="N40" s="11" t="s">
        <v>399</v>
      </c>
    </row>
    <row r="41" spans="1:14" ht="15" x14ac:dyDescent="0.2">
      <c r="A41" s="11">
        <v>40</v>
      </c>
      <c r="B41" s="11" t="s">
        <v>431</v>
      </c>
      <c r="D41" s="12" t="s">
        <v>412</v>
      </c>
      <c r="E41" s="25">
        <v>5.5</v>
      </c>
      <c r="F41" s="13" t="s">
        <v>276</v>
      </c>
      <c r="G41" s="11" t="s">
        <v>419</v>
      </c>
      <c r="H41" s="11" t="s">
        <v>352</v>
      </c>
      <c r="I41" s="11" t="s">
        <v>352</v>
      </c>
      <c r="K41" s="11" t="s">
        <v>346</v>
      </c>
      <c r="L41" s="7">
        <v>43010</v>
      </c>
      <c r="N41" s="11" t="s">
        <v>399</v>
      </c>
    </row>
    <row r="42" spans="1:14" ht="15" x14ac:dyDescent="0.2">
      <c r="A42" s="11">
        <v>41</v>
      </c>
      <c r="B42" s="11" t="s">
        <v>432</v>
      </c>
      <c r="D42" s="12" t="s">
        <v>433</v>
      </c>
      <c r="E42" s="25">
        <v>5</v>
      </c>
      <c r="F42" s="13" t="s">
        <v>276</v>
      </c>
      <c r="G42" s="11" t="s">
        <v>434</v>
      </c>
      <c r="H42" s="11" t="s">
        <v>352</v>
      </c>
      <c r="I42" s="11" t="s">
        <v>352</v>
      </c>
      <c r="K42" s="11" t="s">
        <v>346</v>
      </c>
      <c r="L42" s="7">
        <v>43011</v>
      </c>
      <c r="N42" s="11" t="s">
        <v>399</v>
      </c>
    </row>
    <row r="43" spans="1:14" ht="15" x14ac:dyDescent="0.2">
      <c r="A43" s="11">
        <v>42</v>
      </c>
      <c r="B43" s="11" t="s">
        <v>435</v>
      </c>
      <c r="C43" s="12">
        <v>2005</v>
      </c>
      <c r="D43" s="12">
        <v>12</v>
      </c>
      <c r="E43" s="25">
        <v>12</v>
      </c>
      <c r="F43" s="13" t="s">
        <v>276</v>
      </c>
      <c r="G43" s="11" t="s">
        <v>436</v>
      </c>
      <c r="H43" s="11" t="s">
        <v>352</v>
      </c>
      <c r="I43" s="11" t="s">
        <v>352</v>
      </c>
      <c r="K43" s="11" t="s">
        <v>346</v>
      </c>
      <c r="L43" s="7">
        <v>43006</v>
      </c>
      <c r="N43" s="11" t="s">
        <v>399</v>
      </c>
    </row>
    <row r="44" spans="1:14" ht="15" x14ac:dyDescent="0.2">
      <c r="A44" s="11">
        <v>43</v>
      </c>
      <c r="B44" s="11" t="s">
        <v>437</v>
      </c>
      <c r="C44" s="12">
        <v>2007</v>
      </c>
      <c r="D44" s="12">
        <v>10</v>
      </c>
      <c r="E44" s="25">
        <v>10</v>
      </c>
      <c r="F44" s="13" t="s">
        <v>276</v>
      </c>
      <c r="G44" s="11" t="s">
        <v>436</v>
      </c>
      <c r="H44" s="11" t="s">
        <v>352</v>
      </c>
      <c r="I44" s="11" t="s">
        <v>352</v>
      </c>
      <c r="K44" s="11" t="s">
        <v>346</v>
      </c>
      <c r="L44" s="7">
        <v>43006</v>
      </c>
      <c r="N44" s="11" t="s">
        <v>399</v>
      </c>
    </row>
    <row r="45" spans="1:14" ht="15" x14ac:dyDescent="0.2">
      <c r="A45" s="11">
        <v>44</v>
      </c>
      <c r="B45" s="11" t="s">
        <v>438</v>
      </c>
      <c r="C45" s="12">
        <v>2010</v>
      </c>
      <c r="D45" s="12">
        <v>7</v>
      </c>
      <c r="E45" s="25">
        <v>7</v>
      </c>
      <c r="F45" s="13" t="s">
        <v>276</v>
      </c>
      <c r="G45" s="11" t="s">
        <v>436</v>
      </c>
      <c r="H45" s="11" t="s">
        <v>352</v>
      </c>
      <c r="I45" s="11" t="s">
        <v>352</v>
      </c>
      <c r="K45" s="11" t="s">
        <v>346</v>
      </c>
      <c r="L45" s="7">
        <v>43006</v>
      </c>
      <c r="N45" s="11" t="s">
        <v>399</v>
      </c>
    </row>
    <row r="46" spans="1:14" ht="15" x14ac:dyDescent="0.2">
      <c r="A46" s="11">
        <v>45</v>
      </c>
      <c r="B46" s="11" t="s">
        <v>439</v>
      </c>
      <c r="D46" s="12">
        <v>8</v>
      </c>
      <c r="E46" s="25">
        <v>8</v>
      </c>
      <c r="F46" s="13" t="s">
        <v>128</v>
      </c>
      <c r="G46" s="11" t="s">
        <v>427</v>
      </c>
      <c r="H46" s="11" t="s">
        <v>352</v>
      </c>
      <c r="I46" s="11" t="s">
        <v>352</v>
      </c>
      <c r="K46" s="11" t="s">
        <v>346</v>
      </c>
      <c r="L46" s="7">
        <v>43006</v>
      </c>
      <c r="N46" s="11" t="s">
        <v>399</v>
      </c>
    </row>
    <row r="47" spans="1:14" ht="15" x14ac:dyDescent="0.2">
      <c r="A47" s="11">
        <v>46</v>
      </c>
      <c r="B47" s="11" t="s">
        <v>440</v>
      </c>
      <c r="D47" s="12">
        <v>12</v>
      </c>
      <c r="E47" s="25">
        <v>12</v>
      </c>
      <c r="F47" s="13" t="s">
        <v>276</v>
      </c>
      <c r="G47" s="11" t="s">
        <v>441</v>
      </c>
      <c r="H47" s="11" t="s">
        <v>341</v>
      </c>
      <c r="I47" s="11" t="s">
        <v>341</v>
      </c>
      <c r="K47" s="11" t="s">
        <v>346</v>
      </c>
      <c r="L47" s="7">
        <v>43026</v>
      </c>
      <c r="N47" s="11" t="s">
        <v>399</v>
      </c>
    </row>
    <row r="48" spans="1:14" ht="15" x14ac:dyDescent="0.2">
      <c r="A48" s="11">
        <v>47</v>
      </c>
      <c r="B48" s="11" t="s">
        <v>353</v>
      </c>
      <c r="D48" s="12" t="s">
        <v>442</v>
      </c>
      <c r="E48" s="25">
        <v>4.5</v>
      </c>
      <c r="F48" s="13" t="s">
        <v>128</v>
      </c>
      <c r="G48" s="11" t="s">
        <v>441</v>
      </c>
      <c r="H48" s="11" t="s">
        <v>341</v>
      </c>
      <c r="I48" s="11" t="s">
        <v>341</v>
      </c>
      <c r="K48" s="11" t="s">
        <v>346</v>
      </c>
      <c r="L48" s="7">
        <v>43026</v>
      </c>
      <c r="N48" s="11" t="s">
        <v>399</v>
      </c>
    </row>
    <row r="49" spans="1:14" ht="15" x14ac:dyDescent="0.2">
      <c r="A49" s="11">
        <v>48</v>
      </c>
      <c r="B49" s="11" t="s">
        <v>443</v>
      </c>
      <c r="D49" s="12" t="s">
        <v>442</v>
      </c>
      <c r="E49" s="25">
        <v>4.5</v>
      </c>
      <c r="F49" s="13" t="s">
        <v>128</v>
      </c>
      <c r="G49" s="11" t="s">
        <v>441</v>
      </c>
      <c r="H49" s="11" t="s">
        <v>341</v>
      </c>
      <c r="I49" s="11" t="s">
        <v>341</v>
      </c>
      <c r="K49" s="11" t="s">
        <v>346</v>
      </c>
      <c r="L49" s="7">
        <v>43026</v>
      </c>
      <c r="N49" s="11" t="s">
        <v>399</v>
      </c>
    </row>
    <row r="50" spans="1:14" ht="15" x14ac:dyDescent="0.2">
      <c r="A50" s="11">
        <v>49</v>
      </c>
      <c r="B50" s="11" t="s">
        <v>444</v>
      </c>
      <c r="D50" s="12">
        <v>10</v>
      </c>
      <c r="E50" s="25">
        <v>10</v>
      </c>
      <c r="F50" s="13" t="s">
        <v>128</v>
      </c>
      <c r="G50" s="11" t="s">
        <v>441</v>
      </c>
      <c r="H50" s="11" t="s">
        <v>341</v>
      </c>
      <c r="I50" s="11" t="s">
        <v>341</v>
      </c>
      <c r="K50" s="11" t="s">
        <v>346</v>
      </c>
      <c r="L50" s="7">
        <v>43026</v>
      </c>
      <c r="N50" s="11" t="s">
        <v>399</v>
      </c>
    </row>
    <row r="51" spans="1:14" ht="15" x14ac:dyDescent="0.2">
      <c r="A51" s="11">
        <v>50</v>
      </c>
      <c r="B51" s="11" t="s">
        <v>445</v>
      </c>
      <c r="D51" s="12">
        <v>7</v>
      </c>
      <c r="E51" s="25">
        <v>7</v>
      </c>
      <c r="F51" s="13" t="s">
        <v>276</v>
      </c>
      <c r="G51" s="11" t="s">
        <v>441</v>
      </c>
      <c r="H51" s="11" t="s">
        <v>341</v>
      </c>
      <c r="I51" s="11" t="s">
        <v>341</v>
      </c>
      <c r="K51" s="11" t="s">
        <v>346</v>
      </c>
      <c r="L51" s="7">
        <v>43026</v>
      </c>
      <c r="N51" s="11" t="s">
        <v>399</v>
      </c>
    </row>
    <row r="52" spans="1:14" ht="15" x14ac:dyDescent="0.2">
      <c r="A52" s="11">
        <v>51</v>
      </c>
      <c r="B52" s="11" t="s">
        <v>446</v>
      </c>
      <c r="D52" s="12" t="s">
        <v>447</v>
      </c>
      <c r="E52" s="25">
        <v>10.5</v>
      </c>
      <c r="F52" s="13" t="s">
        <v>276</v>
      </c>
      <c r="G52" s="11" t="s">
        <v>448</v>
      </c>
      <c r="H52" s="11" t="s">
        <v>356</v>
      </c>
      <c r="I52" s="11" t="s">
        <v>356</v>
      </c>
      <c r="K52" s="11" t="s">
        <v>449</v>
      </c>
      <c r="L52" s="7">
        <v>43030</v>
      </c>
    </row>
    <row r="53" spans="1:14" ht="15" x14ac:dyDescent="0.2">
      <c r="A53" s="11">
        <v>52</v>
      </c>
      <c r="B53" s="11" t="s">
        <v>450</v>
      </c>
      <c r="D53" s="12">
        <v>8</v>
      </c>
      <c r="E53" s="25">
        <v>8</v>
      </c>
      <c r="F53" s="13" t="s">
        <v>276</v>
      </c>
      <c r="G53" s="11" t="s">
        <v>451</v>
      </c>
      <c r="H53" s="11" t="s">
        <v>452</v>
      </c>
      <c r="I53" s="11" t="s">
        <v>356</v>
      </c>
      <c r="K53" s="11" t="s">
        <v>346</v>
      </c>
      <c r="L53" s="7">
        <v>43030</v>
      </c>
    </row>
    <row r="54" spans="1:14" ht="15" x14ac:dyDescent="0.2">
      <c r="A54" s="11">
        <v>53</v>
      </c>
      <c r="B54" s="11" t="s">
        <v>453</v>
      </c>
      <c r="C54" s="12">
        <v>2008</v>
      </c>
      <c r="D54" s="12">
        <v>9</v>
      </c>
      <c r="E54" s="25">
        <v>9</v>
      </c>
      <c r="F54" s="13" t="s">
        <v>276</v>
      </c>
      <c r="G54" s="11" t="s">
        <v>454</v>
      </c>
      <c r="H54" s="11" t="s">
        <v>356</v>
      </c>
      <c r="I54" s="11" t="s">
        <v>356</v>
      </c>
      <c r="K54" s="11" t="s">
        <v>386</v>
      </c>
      <c r="L54" s="7">
        <v>43030</v>
      </c>
    </row>
    <row r="55" spans="1:14" ht="15" x14ac:dyDescent="0.2">
      <c r="A55" s="11">
        <v>54</v>
      </c>
      <c r="B55" s="11" t="s">
        <v>455</v>
      </c>
      <c r="C55" s="12">
        <v>2011</v>
      </c>
      <c r="D55" s="12">
        <v>6</v>
      </c>
      <c r="E55" s="25">
        <v>6</v>
      </c>
      <c r="F55" s="13" t="s">
        <v>276</v>
      </c>
      <c r="G55" s="11" t="s">
        <v>454</v>
      </c>
      <c r="H55" s="11" t="s">
        <v>356</v>
      </c>
      <c r="I55" s="11" t="s">
        <v>356</v>
      </c>
      <c r="K55" s="11" t="s">
        <v>371</v>
      </c>
      <c r="L55" s="7">
        <v>43030</v>
      </c>
    </row>
    <row r="56" spans="1:14" ht="15" x14ac:dyDescent="0.2">
      <c r="A56" s="11">
        <v>55</v>
      </c>
      <c r="B56" s="11" t="s">
        <v>456</v>
      </c>
      <c r="D56" s="12">
        <v>10</v>
      </c>
      <c r="E56" s="25">
        <v>10</v>
      </c>
      <c r="F56" s="13" t="s">
        <v>128</v>
      </c>
      <c r="G56" s="11" t="s">
        <v>457</v>
      </c>
      <c r="H56" s="11" t="s">
        <v>356</v>
      </c>
      <c r="I56" s="11" t="s">
        <v>356</v>
      </c>
      <c r="K56" s="11" t="s">
        <v>449</v>
      </c>
      <c r="L56" s="7">
        <v>43030</v>
      </c>
    </row>
    <row r="57" spans="1:14" ht="15" x14ac:dyDescent="0.2">
      <c r="A57" s="11">
        <v>56</v>
      </c>
      <c r="B57" s="11" t="s">
        <v>458</v>
      </c>
      <c r="D57" s="12">
        <v>8</v>
      </c>
      <c r="E57" s="25">
        <v>8</v>
      </c>
      <c r="F57" s="13" t="s">
        <v>276</v>
      </c>
      <c r="G57" s="11" t="s">
        <v>457</v>
      </c>
      <c r="H57" s="11" t="s">
        <v>356</v>
      </c>
      <c r="I57" s="11" t="s">
        <v>356</v>
      </c>
      <c r="K57" s="11" t="s">
        <v>386</v>
      </c>
      <c r="L57" s="7">
        <v>43030</v>
      </c>
    </row>
    <row r="58" spans="1:14" ht="15" x14ac:dyDescent="0.2">
      <c r="A58" s="11">
        <v>57</v>
      </c>
      <c r="B58" s="11" t="s">
        <v>444</v>
      </c>
      <c r="D58" s="12">
        <v>7</v>
      </c>
      <c r="E58" s="25">
        <v>7</v>
      </c>
      <c r="F58" s="13" t="s">
        <v>128</v>
      </c>
      <c r="G58" s="11" t="s">
        <v>351</v>
      </c>
      <c r="H58" s="11" t="s">
        <v>352</v>
      </c>
      <c r="I58" s="11" t="s">
        <v>352</v>
      </c>
      <c r="K58" s="11" t="s">
        <v>346</v>
      </c>
      <c r="L58" s="7">
        <v>43039</v>
      </c>
    </row>
    <row r="59" spans="1:14" ht="15" x14ac:dyDescent="0.2">
      <c r="A59" s="11">
        <v>58</v>
      </c>
      <c r="B59" s="11" t="s">
        <v>459</v>
      </c>
      <c r="D59" s="12">
        <v>8</v>
      </c>
      <c r="E59" s="25">
        <v>8</v>
      </c>
      <c r="F59" s="13" t="s">
        <v>128</v>
      </c>
      <c r="G59" s="11" t="s">
        <v>460</v>
      </c>
      <c r="H59" s="11" t="s">
        <v>352</v>
      </c>
      <c r="I59" s="11" t="s">
        <v>352</v>
      </c>
      <c r="K59" s="11" t="s">
        <v>386</v>
      </c>
      <c r="L59" s="7">
        <v>43043</v>
      </c>
    </row>
    <row r="60" spans="1:14" ht="15" x14ac:dyDescent="0.2">
      <c r="A60" s="11">
        <v>59</v>
      </c>
      <c r="B60" s="11" t="s">
        <v>461</v>
      </c>
      <c r="D60" s="12">
        <v>10</v>
      </c>
      <c r="E60" s="25">
        <v>10</v>
      </c>
      <c r="F60" s="13" t="s">
        <v>276</v>
      </c>
      <c r="G60" s="11" t="s">
        <v>462</v>
      </c>
      <c r="H60" s="11" t="s">
        <v>356</v>
      </c>
      <c r="I60" s="11" t="s">
        <v>356</v>
      </c>
      <c r="K60" s="11" t="s">
        <v>449</v>
      </c>
      <c r="L60" s="7">
        <v>43050</v>
      </c>
    </row>
    <row r="61" spans="1:14" ht="15" x14ac:dyDescent="0.2">
      <c r="A61" s="11">
        <v>60</v>
      </c>
      <c r="B61" s="11" t="s">
        <v>463</v>
      </c>
      <c r="D61" s="12">
        <v>9</v>
      </c>
      <c r="E61" s="25">
        <v>9</v>
      </c>
      <c r="F61" s="13" t="s">
        <v>276</v>
      </c>
      <c r="G61" s="11" t="s">
        <v>464</v>
      </c>
      <c r="H61" s="11" t="s">
        <v>356</v>
      </c>
      <c r="I61" s="11" t="s">
        <v>356</v>
      </c>
      <c r="K61" s="11" t="s">
        <v>449</v>
      </c>
      <c r="L61" s="7">
        <v>43050</v>
      </c>
    </row>
    <row r="62" spans="1:14" ht="15" x14ac:dyDescent="0.2">
      <c r="A62" s="11">
        <v>61</v>
      </c>
      <c r="B62" s="11" t="s">
        <v>465</v>
      </c>
      <c r="D62" s="12">
        <v>7</v>
      </c>
      <c r="E62" s="25">
        <v>7</v>
      </c>
      <c r="F62" s="13" t="s">
        <v>276</v>
      </c>
      <c r="G62" s="11" t="s">
        <v>462</v>
      </c>
      <c r="H62" s="11" t="s">
        <v>356</v>
      </c>
      <c r="I62" s="11" t="s">
        <v>356</v>
      </c>
      <c r="K62" s="11" t="s">
        <v>386</v>
      </c>
      <c r="L62" s="7">
        <v>43050</v>
      </c>
    </row>
    <row r="63" spans="1:14" ht="15" x14ac:dyDescent="0.2">
      <c r="A63" s="11">
        <v>62</v>
      </c>
      <c r="B63" s="11" t="s">
        <v>400</v>
      </c>
      <c r="D63" s="12">
        <v>6</v>
      </c>
      <c r="E63" s="25">
        <v>6</v>
      </c>
      <c r="F63" s="13" t="s">
        <v>128</v>
      </c>
      <c r="G63" s="11" t="s">
        <v>462</v>
      </c>
      <c r="H63" s="11" t="s">
        <v>356</v>
      </c>
      <c r="I63" s="11" t="s">
        <v>356</v>
      </c>
      <c r="K63" s="11" t="s">
        <v>346</v>
      </c>
      <c r="L63" s="7">
        <v>43051</v>
      </c>
    </row>
    <row r="64" spans="1:14" ht="15" x14ac:dyDescent="0.2">
      <c r="A64" s="11">
        <v>63</v>
      </c>
      <c r="B64" s="11" t="s">
        <v>466</v>
      </c>
      <c r="D64" s="12">
        <v>10</v>
      </c>
      <c r="E64" s="25">
        <v>10</v>
      </c>
      <c r="F64" s="13" t="s">
        <v>128</v>
      </c>
      <c r="G64" s="11" t="s">
        <v>467</v>
      </c>
      <c r="H64" s="11" t="s">
        <v>356</v>
      </c>
      <c r="I64" s="11" t="s">
        <v>356</v>
      </c>
      <c r="K64" s="11" t="s">
        <v>449</v>
      </c>
      <c r="L64" s="7">
        <v>43051</v>
      </c>
    </row>
    <row r="65" spans="1:12" ht="15" x14ac:dyDescent="0.2">
      <c r="A65" s="11">
        <v>64</v>
      </c>
      <c r="B65" s="11" t="s">
        <v>468</v>
      </c>
      <c r="D65" s="12">
        <v>7</v>
      </c>
      <c r="E65" s="25">
        <v>7</v>
      </c>
      <c r="F65" s="13" t="s">
        <v>276</v>
      </c>
      <c r="G65" s="11" t="s">
        <v>469</v>
      </c>
      <c r="H65" s="11" t="s">
        <v>356</v>
      </c>
      <c r="I65" s="11" t="s">
        <v>356</v>
      </c>
      <c r="K65" s="11" t="s">
        <v>386</v>
      </c>
      <c r="L65" s="7">
        <v>43058</v>
      </c>
    </row>
    <row r="66" spans="1:12" ht="15" x14ac:dyDescent="0.2">
      <c r="A66" s="11">
        <v>65</v>
      </c>
      <c r="B66" s="11" t="s">
        <v>470</v>
      </c>
      <c r="D66" s="12">
        <v>10</v>
      </c>
      <c r="E66" s="25">
        <v>10</v>
      </c>
      <c r="F66" s="13" t="s">
        <v>128</v>
      </c>
      <c r="G66" s="11" t="s">
        <v>469</v>
      </c>
      <c r="H66" s="11" t="s">
        <v>356</v>
      </c>
      <c r="I66" s="11" t="s">
        <v>356</v>
      </c>
      <c r="K66" s="11" t="s">
        <v>449</v>
      </c>
      <c r="L66" s="7">
        <v>43058</v>
      </c>
    </row>
    <row r="68" spans="1:12" ht="15" x14ac:dyDescent="0.2">
      <c r="D68" s="12" t="s">
        <v>128</v>
      </c>
      <c r="F68" s="6">
        <f>COUNTIF(F2:F67,"M")</f>
        <v>30</v>
      </c>
      <c r="J68" s="11" t="s">
        <v>346</v>
      </c>
      <c r="K68" s="11">
        <f>COUNTIF(K2:K66, "none")</f>
        <v>39</v>
      </c>
      <c r="L68" s="26">
        <f>K68/K71</f>
        <v>0.609375</v>
      </c>
    </row>
    <row r="69" spans="1:12" ht="15" x14ac:dyDescent="0.2">
      <c r="D69" s="12" t="s">
        <v>276</v>
      </c>
      <c r="F69" s="6">
        <v>35</v>
      </c>
      <c r="J69" s="11" t="s">
        <v>516</v>
      </c>
      <c r="K69" s="11">
        <f>COUNTIF(K2:K66,"nursery")</f>
        <v>7</v>
      </c>
      <c r="L69" s="26">
        <f>K69/K71</f>
        <v>0.109375</v>
      </c>
    </row>
    <row r="70" spans="1:12" ht="15" x14ac:dyDescent="0.2">
      <c r="F70" s="6">
        <f>SUM(F68+F69)</f>
        <v>65</v>
      </c>
      <c r="J70" s="11" t="s">
        <v>517</v>
      </c>
      <c r="K70" s="11">
        <f>COUNTIF(K2:K66,"class 1")+COUNTIF(K2:K66,"class 2")</f>
        <v>18</v>
      </c>
      <c r="L70" s="26">
        <f>K70/K71</f>
        <v>0.28125</v>
      </c>
    </row>
    <row r="71" spans="1:12" x14ac:dyDescent="0.15">
      <c r="K71" s="11">
        <f>SUM(K68:K70)</f>
        <v>64</v>
      </c>
    </row>
    <row r="73" spans="1:12" x14ac:dyDescent="0.15">
      <c r="B73" s="11" t="s">
        <v>471</v>
      </c>
      <c r="D73" s="12" t="s">
        <v>512</v>
      </c>
      <c r="E73" s="12">
        <f>COUNTIF(E2:E66,"2.5")+COUNTIF(E2:E66,"3")+COUNTIF(E2:E66,"3.5")+COUNTIF(E2:E66,"4")+COUNTIF(E2:E66,"4.5")</f>
        <v>6</v>
      </c>
      <c r="H73" s="11" t="s">
        <v>518</v>
      </c>
      <c r="I73" s="11">
        <f>COUNTIF(I2:I66,"Eshkesh")</f>
        <v>25</v>
      </c>
    </row>
    <row r="74" spans="1:12" x14ac:dyDescent="0.15">
      <c r="A74" s="11">
        <v>3</v>
      </c>
      <c r="B74" s="11" t="s">
        <v>106</v>
      </c>
      <c r="D74" s="12" t="s">
        <v>513</v>
      </c>
      <c r="E74" s="12">
        <f>COUNTIF(E2:E67,"5")+COUNTIF(E2:E67,"5.5")+COUNTIF(E2:E67,"6")+COUNTIF(E2:E67,"6.5")+COUNTIF(E2:E67,"7")</f>
        <v>24</v>
      </c>
      <c r="H74" s="11" t="s">
        <v>519</v>
      </c>
      <c r="I74" s="11">
        <f>COUNTIF(I2:I66,"Getanyamba")</f>
        <v>31</v>
      </c>
    </row>
    <row r="75" spans="1:12" x14ac:dyDescent="0.15">
      <c r="A75" s="11">
        <v>4</v>
      </c>
      <c r="B75" s="11" t="s">
        <v>106</v>
      </c>
      <c r="D75" s="12" t="s">
        <v>514</v>
      </c>
      <c r="E75" s="12">
        <f>COUNTIF(E2:E66,"7.5")+COUNTIF(E2:E66,"8")+COUNTIF(E2:E66,"8.5")+COUNTIF(E2:E66,"9")+COUNTIF(E2:E66,"9.5")</f>
        <v>17</v>
      </c>
      <c r="H75" s="11" t="s">
        <v>520</v>
      </c>
      <c r="I75" s="11">
        <f>COUNTIF(I2:I66,"Garawja")</f>
        <v>9</v>
      </c>
    </row>
    <row r="76" spans="1:12" x14ac:dyDescent="0.15">
      <c r="A76" s="11">
        <v>9</v>
      </c>
      <c r="B76" s="11" t="s">
        <v>106</v>
      </c>
      <c r="D76" s="12" t="s">
        <v>515</v>
      </c>
      <c r="E76" s="12">
        <f>COUNTIF(E2:E66,"10")+COUNTIF(E2:E66,"10.5")+COUNTIF(E2:E66,"11")+COUNTIF(E2:E66,"11.5")+COUNTIF(E2:E66,"12")+COUNTIF(E2:E66,"12.5")+COUNTIF(E2:E66,"13")</f>
        <v>18</v>
      </c>
      <c r="I76" s="11">
        <f>SUM(I73:I75)</f>
        <v>65</v>
      </c>
    </row>
    <row r="77" spans="1:12" x14ac:dyDescent="0.15">
      <c r="A77" s="11">
        <v>12</v>
      </c>
      <c r="B77" s="11" t="s">
        <v>106</v>
      </c>
      <c r="E77" s="12">
        <f>SUM(E73:E76)</f>
        <v>65</v>
      </c>
    </row>
    <row r="78" spans="1:12" x14ac:dyDescent="0.15">
      <c r="A78" s="11">
        <v>16</v>
      </c>
      <c r="B78" s="11">
        <v>0</v>
      </c>
    </row>
    <row r="79" spans="1:12" x14ac:dyDescent="0.15">
      <c r="A79" s="11">
        <v>21</v>
      </c>
      <c r="B79" s="11" t="s">
        <v>106</v>
      </c>
    </row>
    <row r="80" spans="1:12" x14ac:dyDescent="0.15">
      <c r="A80" s="11">
        <v>22</v>
      </c>
      <c r="B80" s="11">
        <v>0</v>
      </c>
    </row>
    <row r="81" spans="1:2" x14ac:dyDescent="0.15">
      <c r="A81" s="11">
        <v>30</v>
      </c>
      <c r="B81" s="11">
        <v>1</v>
      </c>
    </row>
    <row r="82" spans="1:2" x14ac:dyDescent="0.15">
      <c r="A82" s="11">
        <v>34</v>
      </c>
      <c r="B82" s="11" t="s">
        <v>106</v>
      </c>
    </row>
    <row r="83" spans="1:2" x14ac:dyDescent="0.15">
      <c r="A83" s="11">
        <v>40</v>
      </c>
      <c r="B83" s="11">
        <v>0</v>
      </c>
    </row>
    <row r="84" spans="1:2" x14ac:dyDescent="0.15">
      <c r="A84" s="11">
        <v>41</v>
      </c>
      <c r="B84" s="11">
        <v>0</v>
      </c>
    </row>
    <row r="85" spans="1:2" x14ac:dyDescent="0.15">
      <c r="A85" s="11">
        <v>47</v>
      </c>
      <c r="B85" s="11">
        <v>0</v>
      </c>
    </row>
    <row r="86" spans="1:2" x14ac:dyDescent="0.15">
      <c r="A86" s="11">
        <v>48</v>
      </c>
      <c r="B86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74A3-2BA6-D94A-B2AA-D28C127BE87D}">
  <dimension ref="A2:J106"/>
  <sheetViews>
    <sheetView topLeftCell="A2" workbookViewId="0">
      <selection activeCell="B8" sqref="B8"/>
    </sheetView>
  </sheetViews>
  <sheetFormatPr baseColWidth="10" defaultColWidth="11" defaultRowHeight="16" x14ac:dyDescent="0.2"/>
  <cols>
    <col min="2" max="2" width="19" customWidth="1"/>
    <col min="3" max="3" width="16.33203125" customWidth="1"/>
    <col min="4" max="4" width="13.1640625" customWidth="1"/>
    <col min="5" max="5" width="14.83203125" customWidth="1"/>
    <col min="6" max="6" width="14.1640625" customWidth="1"/>
  </cols>
  <sheetData>
    <row r="2" spans="1:7" x14ac:dyDescent="0.2">
      <c r="A2" t="s">
        <v>265</v>
      </c>
      <c r="C2" t="s">
        <v>266</v>
      </c>
    </row>
    <row r="3" spans="1:7" x14ac:dyDescent="0.2">
      <c r="A3" t="s">
        <v>267</v>
      </c>
      <c r="C3" t="s">
        <v>268</v>
      </c>
    </row>
    <row r="4" spans="1:7" x14ac:dyDescent="0.2">
      <c r="A4" t="s">
        <v>269</v>
      </c>
    </row>
    <row r="5" spans="1:7" x14ac:dyDescent="0.2">
      <c r="A5" t="s">
        <v>270</v>
      </c>
    </row>
    <row r="8" spans="1:7" s="22" customFormat="1" ht="34" x14ac:dyDescent="0.2">
      <c r="A8" s="22" t="s">
        <v>75</v>
      </c>
      <c r="B8" s="22" t="s">
        <v>271</v>
      </c>
      <c r="C8" s="22" t="s">
        <v>272</v>
      </c>
      <c r="D8" s="22" t="s">
        <v>273</v>
      </c>
      <c r="E8" s="22" t="s">
        <v>274</v>
      </c>
      <c r="F8" s="22" t="s">
        <v>275</v>
      </c>
    </row>
    <row r="9" spans="1:7" x14ac:dyDescent="0.2">
      <c r="A9">
        <v>1</v>
      </c>
      <c r="B9" t="s">
        <v>276</v>
      </c>
      <c r="C9" t="s">
        <v>277</v>
      </c>
      <c r="D9">
        <v>1</v>
      </c>
      <c r="E9" t="s">
        <v>278</v>
      </c>
      <c r="F9" t="s">
        <v>278</v>
      </c>
      <c r="G9" t="s">
        <v>279</v>
      </c>
    </row>
    <row r="10" spans="1:7" x14ac:dyDescent="0.2">
      <c r="A10">
        <v>2</v>
      </c>
      <c r="B10" t="s">
        <v>280</v>
      </c>
      <c r="C10" t="s">
        <v>278</v>
      </c>
      <c r="D10">
        <v>1</v>
      </c>
      <c r="E10" t="s">
        <v>278</v>
      </c>
      <c r="G10" t="s">
        <v>281</v>
      </c>
    </row>
    <row r="11" spans="1:7" x14ac:dyDescent="0.2">
      <c r="A11">
        <v>3</v>
      </c>
      <c r="B11" t="s">
        <v>276</v>
      </c>
      <c r="C11" t="s">
        <v>277</v>
      </c>
      <c r="D11">
        <v>1</v>
      </c>
      <c r="E11" t="s">
        <v>278</v>
      </c>
      <c r="F11" t="s">
        <v>278</v>
      </c>
      <c r="G11" t="s">
        <v>282</v>
      </c>
    </row>
    <row r="12" spans="1:7" x14ac:dyDescent="0.2">
      <c r="A12">
        <v>4</v>
      </c>
      <c r="B12" t="s">
        <v>283</v>
      </c>
      <c r="C12" t="s">
        <v>277</v>
      </c>
      <c r="D12">
        <v>0</v>
      </c>
      <c r="G12" t="s">
        <v>284</v>
      </c>
    </row>
    <row r="13" spans="1:7" x14ac:dyDescent="0.2">
      <c r="A13">
        <v>5</v>
      </c>
      <c r="B13" t="s">
        <v>285</v>
      </c>
      <c r="C13" t="s">
        <v>286</v>
      </c>
      <c r="D13">
        <v>1</v>
      </c>
      <c r="E13" t="s">
        <v>278</v>
      </c>
    </row>
    <row r="14" spans="1:7" x14ac:dyDescent="0.2">
      <c r="A14">
        <v>6</v>
      </c>
      <c r="B14" t="s">
        <v>287</v>
      </c>
      <c r="C14" t="s">
        <v>286</v>
      </c>
      <c r="D14">
        <v>1</v>
      </c>
      <c r="E14" t="s">
        <v>278</v>
      </c>
      <c r="F14" t="s">
        <v>106</v>
      </c>
    </row>
    <row r="15" spans="1:7" x14ac:dyDescent="0.2">
      <c r="A15">
        <v>7</v>
      </c>
      <c r="B15" t="s">
        <v>287</v>
      </c>
      <c r="C15" t="s">
        <v>286</v>
      </c>
      <c r="D15">
        <v>1</v>
      </c>
      <c r="E15" t="s">
        <v>278</v>
      </c>
    </row>
    <row r="16" spans="1:7" x14ac:dyDescent="0.2">
      <c r="A16">
        <v>8</v>
      </c>
      <c r="B16" t="s">
        <v>280</v>
      </c>
      <c r="C16" t="s">
        <v>277</v>
      </c>
      <c r="D16">
        <v>1</v>
      </c>
      <c r="E16" t="s">
        <v>278</v>
      </c>
      <c r="F16" t="s">
        <v>278</v>
      </c>
      <c r="G16" t="s">
        <v>288</v>
      </c>
    </row>
    <row r="17" spans="1:7" x14ac:dyDescent="0.2">
      <c r="A17">
        <v>9</v>
      </c>
      <c r="B17" t="s">
        <v>276</v>
      </c>
      <c r="C17" t="s">
        <v>278</v>
      </c>
      <c r="D17">
        <v>1</v>
      </c>
      <c r="E17" t="s">
        <v>289</v>
      </c>
      <c r="F17" t="s">
        <v>278</v>
      </c>
    </row>
    <row r="18" spans="1:7" x14ac:dyDescent="0.2">
      <c r="A18">
        <v>10</v>
      </c>
      <c r="B18" t="s">
        <v>276</v>
      </c>
      <c r="C18" t="s">
        <v>278</v>
      </c>
      <c r="D18">
        <v>1</v>
      </c>
      <c r="E18" t="s">
        <v>278</v>
      </c>
      <c r="F18" t="s">
        <v>278</v>
      </c>
    </row>
    <row r="19" spans="1:7" x14ac:dyDescent="0.2">
      <c r="A19">
        <v>11</v>
      </c>
      <c r="B19" t="s">
        <v>276</v>
      </c>
      <c r="C19" t="s">
        <v>278</v>
      </c>
      <c r="D19">
        <v>1</v>
      </c>
      <c r="E19" t="s">
        <v>278</v>
      </c>
      <c r="F19" t="s">
        <v>290</v>
      </c>
    </row>
    <row r="20" spans="1:7" x14ac:dyDescent="0.2">
      <c r="A20">
        <v>12</v>
      </c>
      <c r="B20" t="s">
        <v>276</v>
      </c>
      <c r="C20" t="s">
        <v>278</v>
      </c>
      <c r="D20">
        <v>1</v>
      </c>
      <c r="E20" t="s">
        <v>278</v>
      </c>
      <c r="F20" t="s">
        <v>290</v>
      </c>
    </row>
    <row r="21" spans="1:7" x14ac:dyDescent="0.2">
      <c r="A21">
        <v>13</v>
      </c>
      <c r="B21" t="s">
        <v>276</v>
      </c>
      <c r="C21" t="s">
        <v>278</v>
      </c>
      <c r="D21">
        <v>1</v>
      </c>
      <c r="E21" t="s">
        <v>278</v>
      </c>
      <c r="F21" t="s">
        <v>290</v>
      </c>
    </row>
    <row r="22" spans="1:7" x14ac:dyDescent="0.2">
      <c r="A22">
        <v>14</v>
      </c>
      <c r="B22" t="s">
        <v>276</v>
      </c>
      <c r="C22" t="s">
        <v>278</v>
      </c>
      <c r="D22">
        <v>1</v>
      </c>
      <c r="E22" t="s">
        <v>278</v>
      </c>
      <c r="F22" t="s">
        <v>278</v>
      </c>
    </row>
    <row r="23" spans="1:7" x14ac:dyDescent="0.2">
      <c r="A23">
        <v>15</v>
      </c>
      <c r="B23" t="s">
        <v>128</v>
      </c>
      <c r="C23" t="s">
        <v>277</v>
      </c>
      <c r="D23">
        <v>0</v>
      </c>
      <c r="E23" t="s">
        <v>278</v>
      </c>
      <c r="F23" t="s">
        <v>278</v>
      </c>
      <c r="G23" t="s">
        <v>291</v>
      </c>
    </row>
    <row r="24" spans="1:7" x14ac:dyDescent="0.2">
      <c r="A24">
        <v>16</v>
      </c>
      <c r="B24" t="s">
        <v>276</v>
      </c>
      <c r="C24" t="s">
        <v>277</v>
      </c>
      <c r="D24">
        <v>1</v>
      </c>
      <c r="E24" t="s">
        <v>278</v>
      </c>
      <c r="F24" t="s">
        <v>292</v>
      </c>
      <c r="G24" t="s">
        <v>293</v>
      </c>
    </row>
    <row r="25" spans="1:7" x14ac:dyDescent="0.2">
      <c r="A25">
        <v>17</v>
      </c>
      <c r="B25" t="s">
        <v>280</v>
      </c>
      <c r="C25" t="s">
        <v>278</v>
      </c>
      <c r="D25">
        <v>1</v>
      </c>
      <c r="E25" t="s">
        <v>294</v>
      </c>
      <c r="G25" t="s">
        <v>295</v>
      </c>
    </row>
    <row r="26" spans="1:7" x14ac:dyDescent="0.2">
      <c r="A26">
        <v>18</v>
      </c>
      <c r="B26" t="s">
        <v>280</v>
      </c>
      <c r="C26" t="s">
        <v>278</v>
      </c>
      <c r="D26">
        <v>1</v>
      </c>
      <c r="E26" t="s">
        <v>296</v>
      </c>
      <c r="G26" t="s">
        <v>297</v>
      </c>
    </row>
    <row r="27" spans="1:7" x14ac:dyDescent="0.2">
      <c r="A27">
        <v>19</v>
      </c>
      <c r="B27" t="s">
        <v>276</v>
      </c>
      <c r="C27" t="s">
        <v>278</v>
      </c>
      <c r="D27">
        <v>1</v>
      </c>
      <c r="E27" t="s">
        <v>278</v>
      </c>
      <c r="F27" t="s">
        <v>294</v>
      </c>
      <c r="G27" t="s">
        <v>298</v>
      </c>
    </row>
    <row r="28" spans="1:7" x14ac:dyDescent="0.2">
      <c r="A28">
        <v>20</v>
      </c>
      <c r="B28" t="s">
        <v>276</v>
      </c>
      <c r="C28" t="s">
        <v>278</v>
      </c>
      <c r="D28">
        <v>1</v>
      </c>
      <c r="E28" t="s">
        <v>278</v>
      </c>
      <c r="G28" t="s">
        <v>298</v>
      </c>
    </row>
    <row r="29" spans="1:7" x14ac:dyDescent="0.2">
      <c r="A29">
        <v>21</v>
      </c>
      <c r="B29" t="s">
        <v>299</v>
      </c>
      <c r="C29" t="s">
        <v>277</v>
      </c>
      <c r="D29">
        <v>0</v>
      </c>
      <c r="G29" t="s">
        <v>300</v>
      </c>
    </row>
    <row r="30" spans="1:7" x14ac:dyDescent="0.2">
      <c r="A30">
        <v>22</v>
      </c>
      <c r="B30" t="s">
        <v>299</v>
      </c>
      <c r="C30" t="s">
        <v>277</v>
      </c>
      <c r="D30">
        <v>0</v>
      </c>
      <c r="E30" t="s">
        <v>296</v>
      </c>
      <c r="G30" t="s">
        <v>301</v>
      </c>
    </row>
    <row r="31" spans="1:7" x14ac:dyDescent="0.2">
      <c r="A31">
        <v>23</v>
      </c>
      <c r="B31" t="s">
        <v>276</v>
      </c>
      <c r="C31" t="s">
        <v>277</v>
      </c>
      <c r="D31">
        <v>1</v>
      </c>
      <c r="E31" t="s">
        <v>277</v>
      </c>
      <c r="F31" t="s">
        <v>302</v>
      </c>
    </row>
    <row r="32" spans="1:7" x14ac:dyDescent="0.2">
      <c r="A32">
        <v>24</v>
      </c>
      <c r="B32" t="s">
        <v>276</v>
      </c>
      <c r="C32" t="s">
        <v>277</v>
      </c>
      <c r="D32">
        <v>1</v>
      </c>
      <c r="E32" t="s">
        <v>277</v>
      </c>
      <c r="F32" t="s">
        <v>290</v>
      </c>
    </row>
    <row r="33" spans="1:7" x14ac:dyDescent="0.2">
      <c r="A33">
        <v>25</v>
      </c>
      <c r="B33" t="s">
        <v>276</v>
      </c>
      <c r="C33" t="s">
        <v>278</v>
      </c>
      <c r="D33">
        <v>1</v>
      </c>
      <c r="E33" t="s">
        <v>278</v>
      </c>
      <c r="F33" t="s">
        <v>278</v>
      </c>
    </row>
    <row r="34" spans="1:7" x14ac:dyDescent="0.2">
      <c r="A34">
        <v>26</v>
      </c>
      <c r="B34" t="s">
        <v>280</v>
      </c>
      <c r="C34" t="s">
        <v>286</v>
      </c>
      <c r="D34">
        <v>1</v>
      </c>
      <c r="E34" t="s">
        <v>277</v>
      </c>
      <c r="F34" t="s">
        <v>277</v>
      </c>
    </row>
    <row r="35" spans="1:7" x14ac:dyDescent="0.2">
      <c r="A35">
        <v>27</v>
      </c>
      <c r="B35" t="s">
        <v>280</v>
      </c>
      <c r="C35" t="s">
        <v>277</v>
      </c>
      <c r="D35">
        <v>1</v>
      </c>
      <c r="E35" t="s">
        <v>277</v>
      </c>
      <c r="F35" t="s">
        <v>277</v>
      </c>
    </row>
    <row r="36" spans="1:7" x14ac:dyDescent="0.2">
      <c r="A36">
        <v>28</v>
      </c>
      <c r="B36" t="s">
        <v>276</v>
      </c>
      <c r="C36" t="s">
        <v>278</v>
      </c>
      <c r="D36">
        <v>1</v>
      </c>
      <c r="E36" t="s">
        <v>278</v>
      </c>
      <c r="F36" t="s">
        <v>290</v>
      </c>
    </row>
    <row r="37" spans="1:7" x14ac:dyDescent="0.2">
      <c r="A37">
        <v>29</v>
      </c>
      <c r="B37" t="s">
        <v>276</v>
      </c>
      <c r="C37" t="s">
        <v>277</v>
      </c>
      <c r="D37">
        <v>1</v>
      </c>
      <c r="E37" t="s">
        <v>277</v>
      </c>
      <c r="F37" t="s">
        <v>277</v>
      </c>
    </row>
    <row r="38" spans="1:7" x14ac:dyDescent="0.2">
      <c r="A38">
        <v>30</v>
      </c>
      <c r="B38" t="s">
        <v>276</v>
      </c>
      <c r="C38" t="s">
        <v>277</v>
      </c>
      <c r="D38">
        <v>1</v>
      </c>
      <c r="E38" t="s">
        <v>277</v>
      </c>
      <c r="F38" t="s">
        <v>290</v>
      </c>
    </row>
    <row r="39" spans="1:7" x14ac:dyDescent="0.2">
      <c r="A39">
        <v>31</v>
      </c>
      <c r="B39" t="s">
        <v>276</v>
      </c>
      <c r="C39" t="s">
        <v>278</v>
      </c>
      <c r="D39">
        <v>1</v>
      </c>
      <c r="E39" t="s">
        <v>278</v>
      </c>
      <c r="F39" t="s">
        <v>277</v>
      </c>
    </row>
    <row r="40" spans="1:7" x14ac:dyDescent="0.2">
      <c r="A40">
        <v>32</v>
      </c>
      <c r="B40" t="s">
        <v>276</v>
      </c>
      <c r="C40" t="s">
        <v>278</v>
      </c>
      <c r="D40">
        <v>1</v>
      </c>
      <c r="E40" t="s">
        <v>278</v>
      </c>
      <c r="F40" t="s">
        <v>290</v>
      </c>
      <c r="G40" t="s">
        <v>303</v>
      </c>
    </row>
    <row r="41" spans="1:7" x14ac:dyDescent="0.2">
      <c r="A41">
        <v>33</v>
      </c>
      <c r="B41" t="s">
        <v>276</v>
      </c>
      <c r="C41" t="s">
        <v>278</v>
      </c>
      <c r="D41">
        <v>1</v>
      </c>
      <c r="E41" t="s">
        <v>278</v>
      </c>
      <c r="F41" t="s">
        <v>290</v>
      </c>
    </row>
    <row r="42" spans="1:7" x14ac:dyDescent="0.2">
      <c r="A42">
        <v>34</v>
      </c>
      <c r="B42" t="s">
        <v>276</v>
      </c>
      <c r="C42" t="s">
        <v>277</v>
      </c>
      <c r="D42">
        <v>1</v>
      </c>
      <c r="E42" t="s">
        <v>278</v>
      </c>
      <c r="F42" t="s">
        <v>290</v>
      </c>
    </row>
    <row r="43" spans="1:7" x14ac:dyDescent="0.2">
      <c r="A43">
        <v>35</v>
      </c>
      <c r="B43" t="s">
        <v>276</v>
      </c>
      <c r="C43" t="s">
        <v>278</v>
      </c>
      <c r="D43">
        <v>1</v>
      </c>
      <c r="E43" t="s">
        <v>277</v>
      </c>
      <c r="F43" t="s">
        <v>290</v>
      </c>
      <c r="G43" t="s">
        <v>304</v>
      </c>
    </row>
    <row r="44" spans="1:7" x14ac:dyDescent="0.2">
      <c r="A44">
        <v>36</v>
      </c>
      <c r="B44" t="s">
        <v>276</v>
      </c>
      <c r="C44" t="s">
        <v>278</v>
      </c>
      <c r="D44">
        <v>1</v>
      </c>
      <c r="E44" t="s">
        <v>305</v>
      </c>
      <c r="F44" t="s">
        <v>290</v>
      </c>
    </row>
    <row r="45" spans="1:7" x14ac:dyDescent="0.2">
      <c r="A45">
        <v>37</v>
      </c>
      <c r="B45" t="s">
        <v>276</v>
      </c>
      <c r="C45" t="s">
        <v>278</v>
      </c>
      <c r="D45">
        <v>1</v>
      </c>
      <c r="E45" t="s">
        <v>278</v>
      </c>
      <c r="F45" t="s">
        <v>290</v>
      </c>
      <c r="G45" t="s">
        <v>306</v>
      </c>
    </row>
    <row r="46" spans="1:7" x14ac:dyDescent="0.2">
      <c r="A46">
        <v>38</v>
      </c>
      <c r="B46" t="s">
        <v>276</v>
      </c>
      <c r="C46" t="s">
        <v>278</v>
      </c>
      <c r="D46">
        <v>1</v>
      </c>
      <c r="E46" t="s">
        <v>278</v>
      </c>
      <c r="F46" t="s">
        <v>290</v>
      </c>
    </row>
    <row r="47" spans="1:7" x14ac:dyDescent="0.2">
      <c r="A47">
        <v>39</v>
      </c>
      <c r="B47" t="s">
        <v>276</v>
      </c>
      <c r="C47" t="s">
        <v>277</v>
      </c>
      <c r="D47">
        <v>1</v>
      </c>
      <c r="E47" t="s">
        <v>290</v>
      </c>
      <c r="F47" t="s">
        <v>290</v>
      </c>
    </row>
    <row r="48" spans="1:7" x14ac:dyDescent="0.2">
      <c r="A48">
        <v>40</v>
      </c>
      <c r="B48" t="s">
        <v>276</v>
      </c>
      <c r="C48" t="s">
        <v>278</v>
      </c>
      <c r="D48">
        <v>1</v>
      </c>
      <c r="E48" t="s">
        <v>307</v>
      </c>
      <c r="F48" t="s">
        <v>290</v>
      </c>
      <c r="G48" t="s">
        <v>308</v>
      </c>
    </row>
    <row r="49" spans="1:10" x14ac:dyDescent="0.2">
      <c r="A49">
        <v>41</v>
      </c>
      <c r="B49" t="s">
        <v>276</v>
      </c>
      <c r="C49" t="s">
        <v>278</v>
      </c>
      <c r="D49">
        <v>1</v>
      </c>
      <c r="E49" t="s">
        <v>290</v>
      </c>
      <c r="F49" t="s">
        <v>290</v>
      </c>
    </row>
    <row r="50" spans="1:10" x14ac:dyDescent="0.2">
      <c r="A50">
        <v>42</v>
      </c>
      <c r="B50" t="s">
        <v>276</v>
      </c>
      <c r="C50" t="s">
        <v>278</v>
      </c>
      <c r="D50">
        <v>1</v>
      </c>
      <c r="E50" t="s">
        <v>278</v>
      </c>
      <c r="F50" t="s">
        <v>278</v>
      </c>
    </row>
    <row r="51" spans="1:10" x14ac:dyDescent="0.2">
      <c r="A51">
        <v>43</v>
      </c>
      <c r="B51" t="s">
        <v>276</v>
      </c>
      <c r="C51" t="s">
        <v>278</v>
      </c>
      <c r="D51">
        <v>1</v>
      </c>
      <c r="E51" t="s">
        <v>278</v>
      </c>
      <c r="F51" t="s">
        <v>309</v>
      </c>
    </row>
    <row r="52" spans="1:10" x14ac:dyDescent="0.2">
      <c r="A52">
        <v>44</v>
      </c>
      <c r="B52" t="s">
        <v>276</v>
      </c>
      <c r="C52" t="s">
        <v>278</v>
      </c>
      <c r="D52">
        <v>1</v>
      </c>
      <c r="E52" t="s">
        <v>290</v>
      </c>
      <c r="F52" t="s">
        <v>290</v>
      </c>
    </row>
    <row r="53" spans="1:10" x14ac:dyDescent="0.2">
      <c r="A53">
        <v>45</v>
      </c>
      <c r="B53" t="s">
        <v>276</v>
      </c>
      <c r="C53" t="s">
        <v>278</v>
      </c>
      <c r="D53">
        <v>1</v>
      </c>
      <c r="E53" t="s">
        <v>278</v>
      </c>
      <c r="F53" t="s">
        <v>290</v>
      </c>
    </row>
    <row r="54" spans="1:10" x14ac:dyDescent="0.2">
      <c r="A54">
        <v>46</v>
      </c>
      <c r="B54" t="s">
        <v>276</v>
      </c>
      <c r="C54" t="s">
        <v>278</v>
      </c>
      <c r="D54">
        <v>1</v>
      </c>
      <c r="E54" t="s">
        <v>278</v>
      </c>
      <c r="F54" t="s">
        <v>290</v>
      </c>
    </row>
    <row r="55" spans="1:10" x14ac:dyDescent="0.2">
      <c r="A55">
        <v>47</v>
      </c>
      <c r="B55" t="s">
        <v>106</v>
      </c>
      <c r="C55" t="s">
        <v>106</v>
      </c>
      <c r="D55" t="s">
        <v>106</v>
      </c>
      <c r="E55" t="s">
        <v>278</v>
      </c>
      <c r="F55" t="s">
        <v>278</v>
      </c>
    </row>
    <row r="56" spans="1:10" x14ac:dyDescent="0.2">
      <c r="A56">
        <v>48</v>
      </c>
      <c r="B56" t="s">
        <v>276</v>
      </c>
      <c r="C56" t="s">
        <v>278</v>
      </c>
      <c r="D56">
        <v>1</v>
      </c>
      <c r="E56" t="s">
        <v>307</v>
      </c>
      <c r="J56" t="s">
        <v>310</v>
      </c>
    </row>
    <row r="57" spans="1:10" x14ac:dyDescent="0.2">
      <c r="A57">
        <v>49</v>
      </c>
      <c r="B57" t="s">
        <v>276</v>
      </c>
      <c r="C57" t="s">
        <v>278</v>
      </c>
      <c r="D57">
        <v>1</v>
      </c>
      <c r="E57" t="s">
        <v>278</v>
      </c>
      <c r="F57" t="s">
        <v>278</v>
      </c>
    </row>
    <row r="58" spans="1:10" x14ac:dyDescent="0.2">
      <c r="A58">
        <v>50</v>
      </c>
      <c r="B58" t="s">
        <v>276</v>
      </c>
      <c r="C58" t="s">
        <v>278</v>
      </c>
      <c r="D58">
        <v>1</v>
      </c>
      <c r="E58" t="s">
        <v>307</v>
      </c>
    </row>
    <row r="59" spans="1:10" x14ac:dyDescent="0.2">
      <c r="A59">
        <v>51</v>
      </c>
      <c r="B59" t="s">
        <v>276</v>
      </c>
      <c r="C59" t="s">
        <v>278</v>
      </c>
      <c r="D59">
        <v>1</v>
      </c>
      <c r="E59" t="s">
        <v>278</v>
      </c>
      <c r="F59" t="s">
        <v>278</v>
      </c>
    </row>
    <row r="60" spans="1:10" x14ac:dyDescent="0.2">
      <c r="A60">
        <v>52</v>
      </c>
      <c r="B60" t="s">
        <v>276</v>
      </c>
      <c r="C60" t="s">
        <v>278</v>
      </c>
      <c r="D60">
        <v>1</v>
      </c>
      <c r="E60" t="s">
        <v>290</v>
      </c>
      <c r="F60" t="s">
        <v>290</v>
      </c>
    </row>
    <row r="61" spans="1:10" x14ac:dyDescent="0.2">
      <c r="A61">
        <v>53</v>
      </c>
      <c r="B61" t="s">
        <v>276</v>
      </c>
      <c r="C61" t="s">
        <v>278</v>
      </c>
      <c r="D61">
        <v>1</v>
      </c>
      <c r="E61" t="s">
        <v>278</v>
      </c>
      <c r="F61" t="s">
        <v>278</v>
      </c>
      <c r="G61" t="s">
        <v>311</v>
      </c>
    </row>
    <row r="62" spans="1:10" x14ac:dyDescent="0.2">
      <c r="A62">
        <v>54</v>
      </c>
      <c r="B62" t="s">
        <v>276</v>
      </c>
      <c r="C62" t="s">
        <v>278</v>
      </c>
      <c r="D62">
        <v>1</v>
      </c>
      <c r="E62" t="s">
        <v>278</v>
      </c>
      <c r="F62" t="s">
        <v>278</v>
      </c>
    </row>
    <row r="63" spans="1:10" x14ac:dyDescent="0.2">
      <c r="A63">
        <v>55</v>
      </c>
      <c r="B63" t="s">
        <v>276</v>
      </c>
      <c r="C63" t="s">
        <v>278</v>
      </c>
      <c r="D63">
        <v>1</v>
      </c>
      <c r="E63" t="s">
        <v>278</v>
      </c>
      <c r="F63" t="s">
        <v>278</v>
      </c>
    </row>
    <row r="64" spans="1:10" x14ac:dyDescent="0.2">
      <c r="A64">
        <v>56</v>
      </c>
      <c r="B64" t="s">
        <v>276</v>
      </c>
      <c r="C64" t="s">
        <v>278</v>
      </c>
      <c r="D64">
        <v>1</v>
      </c>
      <c r="E64" t="s">
        <v>278</v>
      </c>
      <c r="F64" t="s">
        <v>278</v>
      </c>
      <c r="H64" t="s">
        <v>312</v>
      </c>
    </row>
    <row r="65" spans="1:6" x14ac:dyDescent="0.2">
      <c r="A65">
        <v>57</v>
      </c>
      <c r="B65" t="s">
        <v>276</v>
      </c>
      <c r="C65" t="s">
        <v>278</v>
      </c>
      <c r="D65">
        <v>1</v>
      </c>
      <c r="E65" t="s">
        <v>307</v>
      </c>
    </row>
    <row r="66" spans="1:6" x14ac:dyDescent="0.2">
      <c r="A66">
        <v>58</v>
      </c>
      <c r="B66" t="s">
        <v>276</v>
      </c>
      <c r="C66" t="s">
        <v>278</v>
      </c>
      <c r="D66">
        <v>1</v>
      </c>
      <c r="E66" t="s">
        <v>278</v>
      </c>
      <c r="F66" t="s">
        <v>278</v>
      </c>
    </row>
    <row r="67" spans="1:6" x14ac:dyDescent="0.2">
      <c r="A67">
        <v>59</v>
      </c>
      <c r="B67" t="s">
        <v>276</v>
      </c>
      <c r="C67" t="s">
        <v>278</v>
      </c>
      <c r="D67">
        <v>1</v>
      </c>
      <c r="E67" t="s">
        <v>278</v>
      </c>
      <c r="F67" t="s">
        <v>278</v>
      </c>
    </row>
    <row r="68" spans="1:6" x14ac:dyDescent="0.2">
      <c r="A68">
        <v>60</v>
      </c>
      <c r="B68" t="s">
        <v>276</v>
      </c>
      <c r="C68" t="s">
        <v>278</v>
      </c>
      <c r="D68">
        <v>1</v>
      </c>
      <c r="E68" t="s">
        <v>278</v>
      </c>
      <c r="F68" t="s">
        <v>278</v>
      </c>
    </row>
    <row r="69" spans="1:6" x14ac:dyDescent="0.2">
      <c r="A69">
        <v>61</v>
      </c>
      <c r="B69" t="s">
        <v>276</v>
      </c>
      <c r="C69" t="s">
        <v>278</v>
      </c>
      <c r="D69">
        <v>1</v>
      </c>
      <c r="E69" t="s">
        <v>278</v>
      </c>
      <c r="F69" t="s">
        <v>278</v>
      </c>
    </row>
    <row r="70" spans="1:6" x14ac:dyDescent="0.2">
      <c r="A70">
        <v>62</v>
      </c>
      <c r="B70" t="s">
        <v>276</v>
      </c>
      <c r="C70" t="s">
        <v>278</v>
      </c>
      <c r="D70">
        <v>1</v>
      </c>
      <c r="E70" t="s">
        <v>278</v>
      </c>
      <c r="F70" t="s">
        <v>278</v>
      </c>
    </row>
    <row r="71" spans="1:6" x14ac:dyDescent="0.2">
      <c r="A71">
        <v>63</v>
      </c>
      <c r="B71" s="23" t="s">
        <v>276</v>
      </c>
      <c r="C71" s="23" t="s">
        <v>278</v>
      </c>
      <c r="D71" s="23">
        <v>1</v>
      </c>
      <c r="E71" s="23" t="s">
        <v>278</v>
      </c>
      <c r="F71" s="23" t="s">
        <v>278</v>
      </c>
    </row>
    <row r="72" spans="1:6" x14ac:dyDescent="0.2">
      <c r="A72">
        <v>64</v>
      </c>
      <c r="B72" t="s">
        <v>276</v>
      </c>
      <c r="C72" t="s">
        <v>278</v>
      </c>
      <c r="D72">
        <v>1</v>
      </c>
      <c r="E72" t="s">
        <v>278</v>
      </c>
      <c r="F72" t="s">
        <v>290</v>
      </c>
    </row>
    <row r="73" spans="1:6" x14ac:dyDescent="0.2">
      <c r="A73">
        <v>65</v>
      </c>
      <c r="B73" s="23" t="s">
        <v>276</v>
      </c>
      <c r="C73" s="23" t="s">
        <v>278</v>
      </c>
      <c r="D73" s="23">
        <v>1</v>
      </c>
      <c r="E73" s="23" t="s">
        <v>278</v>
      </c>
      <c r="F73" s="23" t="s">
        <v>278</v>
      </c>
    </row>
    <row r="76" spans="1:6" x14ac:dyDescent="0.2">
      <c r="A76" t="s">
        <v>313</v>
      </c>
      <c r="B76">
        <f>COUNTIF(B9:B73,"F")</f>
        <v>51</v>
      </c>
      <c r="C76">
        <f>51/63</f>
        <v>0.80952380952380953</v>
      </c>
    </row>
    <row r="77" spans="1:6" x14ac:dyDescent="0.2">
      <c r="A77" t="s">
        <v>314</v>
      </c>
      <c r="B77">
        <f>COUNTIF(B9:B73,"FF")</f>
        <v>6</v>
      </c>
    </row>
    <row r="78" spans="1:6" x14ac:dyDescent="0.2">
      <c r="A78" t="s">
        <v>106</v>
      </c>
      <c r="B78">
        <f>COUNTIF(B$9:B$73,"n/a")</f>
        <v>1</v>
      </c>
    </row>
    <row r="79" spans="1:6" x14ac:dyDescent="0.2">
      <c r="A79" t="s">
        <v>315</v>
      </c>
      <c r="B79">
        <f>COUNTIF(B$9:B$73,"M")</f>
        <v>1</v>
      </c>
    </row>
    <row r="80" spans="1:6" x14ac:dyDescent="0.2">
      <c r="A80" t="s">
        <v>316</v>
      </c>
      <c r="B80">
        <f>COUNTIF(B$9:B$73,"MF")</f>
        <v>2</v>
      </c>
    </row>
    <row r="81" spans="1:6" x14ac:dyDescent="0.2">
      <c r="A81" t="s">
        <v>317</v>
      </c>
      <c r="B81">
        <f>COUNTIF(B$9:B$73,"FM")</f>
        <v>2</v>
      </c>
    </row>
    <row r="82" spans="1:6" x14ac:dyDescent="0.2">
      <c r="B82">
        <f>SUM(B76:B81)</f>
        <v>63</v>
      </c>
    </row>
    <row r="83" spans="1:6" x14ac:dyDescent="0.2">
      <c r="B83" s="24" t="s">
        <v>318</v>
      </c>
    </row>
    <row r="85" spans="1:6" x14ac:dyDescent="0.2">
      <c r="B85" s="19" t="s">
        <v>319</v>
      </c>
    </row>
    <row r="86" spans="1:6" x14ac:dyDescent="0.2">
      <c r="B86" t="s">
        <v>320</v>
      </c>
      <c r="C86" s="23">
        <f>COUNTIF(C$9:C$73,"birth name")</f>
        <v>45</v>
      </c>
    </row>
    <row r="87" spans="1:6" x14ac:dyDescent="0.2">
      <c r="B87" t="s">
        <v>321</v>
      </c>
      <c r="C87" s="23">
        <f>COUNTIF(C$9:C$73,"domestic name")</f>
        <v>15</v>
      </c>
    </row>
    <row r="88" spans="1:6" x14ac:dyDescent="0.2">
      <c r="B88" t="s">
        <v>322</v>
      </c>
      <c r="C88" s="23">
        <f>COUNTIF(C$9:C$73,"Christian name")</f>
        <v>4</v>
      </c>
    </row>
    <row r="89" spans="1:6" x14ac:dyDescent="0.2">
      <c r="B89" t="s">
        <v>106</v>
      </c>
      <c r="C89" s="23">
        <f>COUNTIF(C$9:C$73,"n/a")</f>
        <v>1</v>
      </c>
    </row>
    <row r="90" spans="1:6" x14ac:dyDescent="0.2">
      <c r="C90">
        <f>SUM(C86:C89)</f>
        <v>65</v>
      </c>
    </row>
    <row r="94" spans="1:6" x14ac:dyDescent="0.2">
      <c r="B94" s="19" t="s">
        <v>323</v>
      </c>
    </row>
    <row r="95" spans="1:6" x14ac:dyDescent="0.2">
      <c r="B95" t="s">
        <v>320</v>
      </c>
      <c r="C95" s="23">
        <f>COUNTIFS(C$9:C$73,"birth name",B$9:B$73,"F")</f>
        <v>42</v>
      </c>
      <c r="D95" s="21">
        <f>(C95/C99)</f>
        <v>0.82352941176470584</v>
      </c>
      <c r="F95" t="s">
        <v>324</v>
      </c>
    </row>
    <row r="96" spans="1:6" x14ac:dyDescent="0.2">
      <c r="B96" t="s">
        <v>321</v>
      </c>
      <c r="C96" s="23">
        <f>COUNTIFS(C$9:C$73,"domestic name",B$9:B$73,"F")</f>
        <v>9</v>
      </c>
      <c r="D96" s="21">
        <f>C96/C$99</f>
        <v>0.17647058823529413</v>
      </c>
      <c r="F96">
        <v>8.5</v>
      </c>
    </row>
    <row r="97" spans="2:6" x14ac:dyDescent="0.2">
      <c r="B97" t="s">
        <v>322</v>
      </c>
      <c r="C97" s="23">
        <f>COUNTIFS(C$9:C$73,"Christian name",B$9:B$73,"F")</f>
        <v>0</v>
      </c>
      <c r="D97" s="21">
        <f>C97/C$99</f>
        <v>0</v>
      </c>
      <c r="F97">
        <v>5.5</v>
      </c>
    </row>
    <row r="98" spans="2:6" x14ac:dyDescent="0.2">
      <c r="B98" t="s">
        <v>106</v>
      </c>
      <c r="C98" s="23">
        <f>COUNTIFS(C$9:C$73,"n/a",B$9:B$73,"F")</f>
        <v>0</v>
      </c>
      <c r="D98" s="21">
        <f>C98/C$99</f>
        <v>0</v>
      </c>
      <c r="F98">
        <v>3</v>
      </c>
    </row>
    <row r="99" spans="2:6" x14ac:dyDescent="0.2">
      <c r="C99">
        <f>SUM(C95:C98)</f>
        <v>51</v>
      </c>
      <c r="F99">
        <v>6.5</v>
      </c>
    </row>
    <row r="100" spans="2:6" x14ac:dyDescent="0.2">
      <c r="F100">
        <v>10.5</v>
      </c>
    </row>
    <row r="101" spans="2:6" x14ac:dyDescent="0.2">
      <c r="B101" s="19" t="s">
        <v>325</v>
      </c>
      <c r="F101">
        <v>8.5</v>
      </c>
    </row>
    <row r="102" spans="2:6" x14ac:dyDescent="0.2">
      <c r="B102" t="s">
        <v>320</v>
      </c>
      <c r="C102" s="23">
        <f>COUNTIFS(C$9:C$73,"birth name",B$9:B$73,"FF")</f>
        <v>3</v>
      </c>
      <c r="F102">
        <v>5.5</v>
      </c>
    </row>
    <row r="103" spans="2:6" x14ac:dyDescent="0.2">
      <c r="B103" t="s">
        <v>321</v>
      </c>
      <c r="C103" s="23">
        <f>COUNTIFS(C$9:C$73,"domestic name",B$9:B$73,"FF")</f>
        <v>2</v>
      </c>
      <c r="F103">
        <v>5</v>
      </c>
    </row>
    <row r="104" spans="2:6" x14ac:dyDescent="0.2">
      <c r="B104" t="s">
        <v>322</v>
      </c>
      <c r="C104" s="23">
        <f>COUNTIFS(C$9:C$73,"Christian name",B$9:B$73,"FF")</f>
        <v>1</v>
      </c>
      <c r="F104">
        <v>7</v>
      </c>
    </row>
    <row r="105" spans="2:6" x14ac:dyDescent="0.2">
      <c r="B105" t="s">
        <v>106</v>
      </c>
      <c r="C105" s="23">
        <f>COUNTIFS(C$9:C$73,"n/a",B$9:B$73,"FF")</f>
        <v>0</v>
      </c>
      <c r="F105">
        <f>AVERAGE(F96:F104)</f>
        <v>6.666666666666667</v>
      </c>
    </row>
    <row r="106" spans="2:6" x14ac:dyDescent="0.2">
      <c r="C106">
        <f>SUM(C102:C105)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4988-D245-2B4A-86AC-570D9B3797AC}">
  <dimension ref="A1:G77"/>
  <sheetViews>
    <sheetView workbookViewId="0">
      <selection activeCell="A2" sqref="A2:B66"/>
    </sheetView>
  </sheetViews>
  <sheetFormatPr baseColWidth="10" defaultRowHeight="16" x14ac:dyDescent="0.2"/>
  <cols>
    <col min="3" max="3" width="25.1640625" customWidth="1"/>
    <col min="4" max="4" width="19.6640625" customWidth="1"/>
    <col min="5" max="5" width="68" customWidth="1"/>
  </cols>
  <sheetData>
    <row r="1" spans="1:6" x14ac:dyDescent="0.2">
      <c r="C1" t="s">
        <v>521</v>
      </c>
      <c r="D1" t="s">
        <v>522</v>
      </c>
      <c r="E1" t="s">
        <v>5</v>
      </c>
    </row>
    <row r="2" spans="1:6" x14ac:dyDescent="0.2">
      <c r="A2" s="11">
        <v>1</v>
      </c>
      <c r="B2" s="12">
        <v>8.5</v>
      </c>
      <c r="C2" t="s">
        <v>523</v>
      </c>
      <c r="E2" t="s">
        <v>524</v>
      </c>
      <c r="F2">
        <v>1</v>
      </c>
    </row>
    <row r="3" spans="1:6" x14ac:dyDescent="0.2">
      <c r="A3" s="11">
        <v>2</v>
      </c>
      <c r="B3" s="12">
        <v>7</v>
      </c>
      <c r="C3" t="s">
        <v>523</v>
      </c>
      <c r="E3" t="s">
        <v>525</v>
      </c>
    </row>
    <row r="4" spans="1:6" x14ac:dyDescent="0.2">
      <c r="A4" s="11">
        <v>3</v>
      </c>
      <c r="B4" s="12">
        <v>5.5</v>
      </c>
      <c r="C4" t="s">
        <v>523</v>
      </c>
      <c r="E4" t="s">
        <v>526</v>
      </c>
    </row>
    <row r="5" spans="1:6" x14ac:dyDescent="0.2">
      <c r="A5" s="11">
        <v>4</v>
      </c>
      <c r="B5" s="12">
        <v>2.5</v>
      </c>
      <c r="C5" t="s">
        <v>527</v>
      </c>
      <c r="D5" t="s">
        <v>530</v>
      </c>
    </row>
    <row r="6" spans="1:6" x14ac:dyDescent="0.2">
      <c r="A6" s="11">
        <v>5</v>
      </c>
      <c r="B6" s="12">
        <v>10</v>
      </c>
      <c r="C6" t="s">
        <v>523</v>
      </c>
      <c r="E6" t="s">
        <v>540</v>
      </c>
      <c r="F6">
        <v>1</v>
      </c>
    </row>
    <row r="7" spans="1:6" x14ac:dyDescent="0.2">
      <c r="A7" s="11">
        <v>6</v>
      </c>
      <c r="B7" s="12">
        <v>9</v>
      </c>
      <c r="C7" t="s">
        <v>523</v>
      </c>
      <c r="E7" t="s">
        <v>528</v>
      </c>
      <c r="F7">
        <v>1</v>
      </c>
    </row>
    <row r="8" spans="1:6" x14ac:dyDescent="0.2">
      <c r="A8" s="11">
        <v>7</v>
      </c>
      <c r="B8" s="12">
        <v>6.5</v>
      </c>
      <c r="C8" t="s">
        <v>523</v>
      </c>
      <c r="D8" t="s">
        <v>530</v>
      </c>
      <c r="E8" t="s">
        <v>529</v>
      </c>
      <c r="F8">
        <v>1</v>
      </c>
    </row>
    <row r="9" spans="1:6" x14ac:dyDescent="0.2">
      <c r="A9" s="11">
        <v>8</v>
      </c>
      <c r="B9" s="12">
        <v>7</v>
      </c>
      <c r="C9" t="s">
        <v>527</v>
      </c>
      <c r="D9" t="s">
        <v>531</v>
      </c>
    </row>
    <row r="10" spans="1:6" x14ac:dyDescent="0.2">
      <c r="A10" s="11">
        <v>9</v>
      </c>
      <c r="B10" s="12">
        <v>4</v>
      </c>
      <c r="C10" t="s">
        <v>527</v>
      </c>
    </row>
    <row r="11" spans="1:6" x14ac:dyDescent="0.2">
      <c r="A11" s="11">
        <v>10</v>
      </c>
      <c r="B11" s="12">
        <v>10</v>
      </c>
      <c r="C11" t="s">
        <v>523</v>
      </c>
      <c r="E11" t="s">
        <v>532</v>
      </c>
      <c r="F11">
        <v>1</v>
      </c>
    </row>
    <row r="12" spans="1:6" x14ac:dyDescent="0.2">
      <c r="A12" s="11">
        <v>11</v>
      </c>
      <c r="B12" s="12">
        <v>7</v>
      </c>
      <c r="C12" t="s">
        <v>523</v>
      </c>
      <c r="D12" t="s">
        <v>530</v>
      </c>
      <c r="E12" t="s">
        <v>533</v>
      </c>
      <c r="F12">
        <v>1</v>
      </c>
    </row>
    <row r="13" spans="1:6" x14ac:dyDescent="0.2">
      <c r="A13" s="11">
        <v>12</v>
      </c>
      <c r="B13" s="12">
        <v>4</v>
      </c>
      <c r="C13" t="s">
        <v>527</v>
      </c>
    </row>
    <row r="14" spans="1:6" x14ac:dyDescent="0.2">
      <c r="A14" s="11">
        <v>13</v>
      </c>
      <c r="B14" s="25">
        <v>8.5</v>
      </c>
      <c r="C14" t="s">
        <v>523</v>
      </c>
      <c r="D14" t="s">
        <v>536</v>
      </c>
      <c r="E14" t="s">
        <v>534</v>
      </c>
      <c r="F14">
        <v>1</v>
      </c>
    </row>
    <row r="15" spans="1:6" x14ac:dyDescent="0.2">
      <c r="A15" s="11">
        <v>14</v>
      </c>
      <c r="B15" s="25">
        <v>8.5</v>
      </c>
      <c r="C15" t="s">
        <v>535</v>
      </c>
      <c r="D15" t="s">
        <v>538</v>
      </c>
      <c r="E15" t="s">
        <v>537</v>
      </c>
      <c r="F15">
        <v>1</v>
      </c>
    </row>
    <row r="16" spans="1:6" x14ac:dyDescent="0.2">
      <c r="A16" s="11">
        <v>15</v>
      </c>
      <c r="B16" s="25">
        <v>6.5</v>
      </c>
      <c r="C16" t="s">
        <v>535</v>
      </c>
      <c r="E16" t="s">
        <v>539</v>
      </c>
    </row>
    <row r="17" spans="1:6" x14ac:dyDescent="0.2">
      <c r="A17" s="11">
        <v>16</v>
      </c>
      <c r="B17" s="25">
        <v>3</v>
      </c>
      <c r="C17" t="s">
        <v>527</v>
      </c>
      <c r="D17" t="s">
        <v>541</v>
      </c>
    </row>
    <row r="18" spans="1:6" x14ac:dyDescent="0.2">
      <c r="A18" s="11">
        <v>17</v>
      </c>
      <c r="B18" s="25">
        <v>9.5</v>
      </c>
      <c r="C18" t="s">
        <v>535</v>
      </c>
      <c r="D18" t="s">
        <v>542</v>
      </c>
      <c r="E18" t="s">
        <v>543</v>
      </c>
      <c r="F18">
        <v>1</v>
      </c>
    </row>
    <row r="19" spans="1:6" x14ac:dyDescent="0.2">
      <c r="A19" s="11">
        <v>18</v>
      </c>
      <c r="B19" s="25">
        <v>6</v>
      </c>
      <c r="C19" t="s">
        <v>527</v>
      </c>
      <c r="D19" t="s">
        <v>544</v>
      </c>
    </row>
    <row r="20" spans="1:6" x14ac:dyDescent="0.2">
      <c r="A20" s="11">
        <v>19</v>
      </c>
      <c r="B20" s="25">
        <v>9</v>
      </c>
      <c r="C20" t="s">
        <v>523</v>
      </c>
      <c r="E20" t="s">
        <v>545</v>
      </c>
      <c r="F20">
        <v>1</v>
      </c>
    </row>
    <row r="21" spans="1:6" x14ac:dyDescent="0.2">
      <c r="A21" s="11">
        <v>20</v>
      </c>
      <c r="B21" s="25">
        <v>7</v>
      </c>
      <c r="C21" t="s">
        <v>527</v>
      </c>
      <c r="D21" t="s">
        <v>546</v>
      </c>
    </row>
    <row r="22" spans="1:6" x14ac:dyDescent="0.2">
      <c r="A22" s="11">
        <v>21</v>
      </c>
      <c r="B22" s="25">
        <v>5</v>
      </c>
      <c r="C22" t="s">
        <v>527</v>
      </c>
      <c r="D22" t="s">
        <v>531</v>
      </c>
    </row>
    <row r="23" spans="1:6" x14ac:dyDescent="0.2">
      <c r="A23" s="11">
        <v>22</v>
      </c>
      <c r="B23" s="25">
        <v>5.5</v>
      </c>
      <c r="C23" t="s">
        <v>527</v>
      </c>
      <c r="D23" t="s">
        <v>547</v>
      </c>
    </row>
    <row r="24" spans="1:6" x14ac:dyDescent="0.2">
      <c r="A24" s="11">
        <v>23</v>
      </c>
      <c r="B24" s="25">
        <v>6.5</v>
      </c>
      <c r="C24" t="s">
        <v>527</v>
      </c>
      <c r="D24" t="s">
        <v>548</v>
      </c>
    </row>
    <row r="25" spans="1:6" x14ac:dyDescent="0.2">
      <c r="A25" s="11">
        <v>24</v>
      </c>
      <c r="B25" s="25">
        <v>10.5</v>
      </c>
      <c r="C25" t="s">
        <v>523</v>
      </c>
      <c r="E25" t="s">
        <v>549</v>
      </c>
    </row>
    <row r="26" spans="1:6" x14ac:dyDescent="0.2">
      <c r="A26" s="11">
        <v>25</v>
      </c>
      <c r="B26" s="25">
        <v>13</v>
      </c>
      <c r="C26" t="s">
        <v>523</v>
      </c>
      <c r="E26" t="s">
        <v>550</v>
      </c>
    </row>
    <row r="27" spans="1:6" x14ac:dyDescent="0.2">
      <c r="A27" s="11">
        <v>26</v>
      </c>
      <c r="B27" s="25">
        <v>11</v>
      </c>
      <c r="C27" t="s">
        <v>523</v>
      </c>
      <c r="E27" t="s">
        <v>551</v>
      </c>
      <c r="F27">
        <v>1</v>
      </c>
    </row>
    <row r="28" spans="1:6" x14ac:dyDescent="0.2">
      <c r="A28" s="11">
        <v>27</v>
      </c>
      <c r="B28" s="25">
        <v>9</v>
      </c>
      <c r="C28" t="s">
        <v>523</v>
      </c>
      <c r="E28" t="s">
        <v>552</v>
      </c>
    </row>
    <row r="29" spans="1:6" x14ac:dyDescent="0.2">
      <c r="A29" s="11">
        <v>28</v>
      </c>
      <c r="B29" s="25">
        <v>11</v>
      </c>
      <c r="C29" t="s">
        <v>523</v>
      </c>
      <c r="E29" t="s">
        <v>552</v>
      </c>
    </row>
    <row r="30" spans="1:6" x14ac:dyDescent="0.2">
      <c r="A30" s="11">
        <v>29</v>
      </c>
      <c r="B30" s="25">
        <v>8.5</v>
      </c>
      <c r="C30" t="s">
        <v>523</v>
      </c>
      <c r="E30" t="s">
        <v>553</v>
      </c>
    </row>
    <row r="31" spans="1:6" x14ac:dyDescent="0.2">
      <c r="A31" s="11">
        <v>30</v>
      </c>
      <c r="B31" s="25">
        <v>5.5</v>
      </c>
      <c r="C31" t="s">
        <v>523</v>
      </c>
      <c r="E31" t="s">
        <v>554</v>
      </c>
    </row>
    <row r="32" spans="1:6" x14ac:dyDescent="0.2">
      <c r="A32" s="11">
        <v>31</v>
      </c>
      <c r="B32" s="25">
        <v>13</v>
      </c>
      <c r="C32" t="s">
        <v>523</v>
      </c>
      <c r="E32" t="s">
        <v>554</v>
      </c>
    </row>
    <row r="33" spans="1:6" x14ac:dyDescent="0.2">
      <c r="A33" s="11">
        <v>32</v>
      </c>
      <c r="B33" s="25">
        <v>11.5</v>
      </c>
      <c r="C33" t="s">
        <v>523</v>
      </c>
      <c r="E33" t="s">
        <v>554</v>
      </c>
    </row>
    <row r="34" spans="1:6" x14ac:dyDescent="0.2">
      <c r="A34" s="11">
        <v>33</v>
      </c>
      <c r="B34" s="25">
        <v>8</v>
      </c>
      <c r="C34" t="s">
        <v>527</v>
      </c>
      <c r="D34" t="s">
        <v>530</v>
      </c>
    </row>
    <row r="35" spans="1:6" x14ac:dyDescent="0.2">
      <c r="A35" s="11">
        <v>34</v>
      </c>
      <c r="B35" s="25">
        <v>5</v>
      </c>
      <c r="C35" t="s">
        <v>555</v>
      </c>
    </row>
    <row r="36" spans="1:6" x14ac:dyDescent="0.2">
      <c r="A36" s="11">
        <v>35</v>
      </c>
      <c r="B36" s="25">
        <v>9</v>
      </c>
      <c r="C36" t="s">
        <v>523</v>
      </c>
      <c r="E36" t="s">
        <v>554</v>
      </c>
    </row>
    <row r="37" spans="1:6" x14ac:dyDescent="0.2">
      <c r="A37" s="11">
        <v>36</v>
      </c>
      <c r="B37" s="25">
        <v>7</v>
      </c>
      <c r="C37" t="s">
        <v>527</v>
      </c>
      <c r="D37" t="s">
        <v>556</v>
      </c>
    </row>
    <row r="38" spans="1:6" x14ac:dyDescent="0.2">
      <c r="A38" s="11">
        <v>37</v>
      </c>
      <c r="B38" s="25">
        <v>11</v>
      </c>
      <c r="C38" t="s">
        <v>523</v>
      </c>
      <c r="E38" t="s">
        <v>557</v>
      </c>
    </row>
    <row r="39" spans="1:6" x14ac:dyDescent="0.2">
      <c r="A39" s="11">
        <v>38</v>
      </c>
      <c r="B39" s="25">
        <v>8.5</v>
      </c>
      <c r="C39" t="s">
        <v>523</v>
      </c>
      <c r="D39" t="s">
        <v>558</v>
      </c>
      <c r="E39" t="s">
        <v>552</v>
      </c>
    </row>
    <row r="40" spans="1:6" x14ac:dyDescent="0.2">
      <c r="A40" s="11">
        <v>39</v>
      </c>
      <c r="B40" s="25">
        <v>7</v>
      </c>
      <c r="C40" t="s">
        <v>527</v>
      </c>
      <c r="D40" t="s">
        <v>559</v>
      </c>
    </row>
    <row r="41" spans="1:6" x14ac:dyDescent="0.2">
      <c r="A41" s="11">
        <v>40</v>
      </c>
      <c r="B41" s="25">
        <v>5.5</v>
      </c>
      <c r="C41" t="s">
        <v>535</v>
      </c>
      <c r="D41" t="s">
        <v>560</v>
      </c>
      <c r="E41" t="s">
        <v>561</v>
      </c>
    </row>
    <row r="42" spans="1:6" x14ac:dyDescent="0.2">
      <c r="A42" s="11">
        <v>41</v>
      </c>
      <c r="B42" s="25">
        <v>5</v>
      </c>
      <c r="C42" t="s">
        <v>527</v>
      </c>
      <c r="D42" t="s">
        <v>530</v>
      </c>
    </row>
    <row r="43" spans="1:6" x14ac:dyDescent="0.2">
      <c r="A43" s="11">
        <v>42</v>
      </c>
      <c r="B43" s="25">
        <v>12</v>
      </c>
      <c r="C43" t="s">
        <v>523</v>
      </c>
      <c r="E43" t="s">
        <v>552</v>
      </c>
    </row>
    <row r="44" spans="1:6" x14ac:dyDescent="0.2">
      <c r="A44" s="11">
        <v>43</v>
      </c>
      <c r="B44" s="25">
        <v>10</v>
      </c>
      <c r="C44" t="s">
        <v>523</v>
      </c>
      <c r="E44" t="s">
        <v>552</v>
      </c>
    </row>
    <row r="45" spans="1:6" x14ac:dyDescent="0.2">
      <c r="A45" s="11">
        <v>44</v>
      </c>
      <c r="B45" s="25">
        <v>7</v>
      </c>
      <c r="C45" t="s">
        <v>527</v>
      </c>
      <c r="D45" t="s">
        <v>530</v>
      </c>
    </row>
    <row r="46" spans="1:6" x14ac:dyDescent="0.2">
      <c r="A46" s="11">
        <v>45</v>
      </c>
      <c r="B46" s="25">
        <v>8</v>
      </c>
      <c r="C46" t="s">
        <v>523</v>
      </c>
      <c r="E46" t="s">
        <v>552</v>
      </c>
    </row>
    <row r="47" spans="1:6" x14ac:dyDescent="0.2">
      <c r="A47" s="11">
        <v>46</v>
      </c>
      <c r="B47" s="25">
        <v>12</v>
      </c>
      <c r="C47" t="s">
        <v>523</v>
      </c>
      <c r="E47" t="s">
        <v>562</v>
      </c>
      <c r="F47">
        <v>1</v>
      </c>
    </row>
    <row r="48" spans="1:6" x14ac:dyDescent="0.2">
      <c r="A48" s="11">
        <v>47</v>
      </c>
      <c r="B48" s="25">
        <v>4.5</v>
      </c>
      <c r="C48" t="s">
        <v>527</v>
      </c>
      <c r="D48" t="s">
        <v>563</v>
      </c>
    </row>
    <row r="49" spans="1:6" x14ac:dyDescent="0.2">
      <c r="A49" s="11">
        <v>48</v>
      </c>
      <c r="B49" s="25">
        <v>4.5</v>
      </c>
      <c r="C49" t="s">
        <v>535</v>
      </c>
      <c r="D49" t="s">
        <v>564</v>
      </c>
      <c r="E49" t="s">
        <v>583</v>
      </c>
    </row>
    <row r="50" spans="1:6" x14ac:dyDescent="0.2">
      <c r="A50" s="11">
        <v>49</v>
      </c>
      <c r="B50" s="25">
        <v>10</v>
      </c>
      <c r="C50" t="s">
        <v>527</v>
      </c>
      <c r="D50" t="s">
        <v>565</v>
      </c>
      <c r="E50" t="s">
        <v>566</v>
      </c>
    </row>
    <row r="51" spans="1:6" x14ac:dyDescent="0.2">
      <c r="A51" s="11">
        <v>50</v>
      </c>
      <c r="B51" s="25">
        <v>7</v>
      </c>
      <c r="C51" t="s">
        <v>523</v>
      </c>
      <c r="E51" t="s">
        <v>567</v>
      </c>
      <c r="F51">
        <v>1</v>
      </c>
    </row>
    <row r="52" spans="1:6" x14ac:dyDescent="0.2">
      <c r="A52" s="11">
        <v>51</v>
      </c>
      <c r="B52" s="25">
        <v>10.5</v>
      </c>
      <c r="C52" t="s">
        <v>523</v>
      </c>
      <c r="E52" t="s">
        <v>552</v>
      </c>
    </row>
    <row r="53" spans="1:6" x14ac:dyDescent="0.2">
      <c r="A53" s="11">
        <v>52</v>
      </c>
      <c r="B53" s="25">
        <v>8</v>
      </c>
      <c r="C53" t="s">
        <v>527</v>
      </c>
      <c r="D53" s="24" t="s">
        <v>568</v>
      </c>
    </row>
    <row r="54" spans="1:6" x14ac:dyDescent="0.2">
      <c r="A54" s="11">
        <v>53</v>
      </c>
      <c r="B54" s="25">
        <v>9</v>
      </c>
      <c r="C54" t="s">
        <v>523</v>
      </c>
      <c r="E54" t="s">
        <v>569</v>
      </c>
      <c r="F54">
        <v>1</v>
      </c>
    </row>
    <row r="55" spans="1:6" x14ac:dyDescent="0.2">
      <c r="A55" s="11">
        <v>54</v>
      </c>
      <c r="B55" s="25">
        <v>6</v>
      </c>
      <c r="C55" t="s">
        <v>523</v>
      </c>
      <c r="E55" t="s">
        <v>570</v>
      </c>
      <c r="F55">
        <v>1</v>
      </c>
    </row>
    <row r="56" spans="1:6" x14ac:dyDescent="0.2">
      <c r="A56" s="11">
        <v>55</v>
      </c>
      <c r="B56" s="25">
        <v>10</v>
      </c>
      <c r="C56" t="s">
        <v>523</v>
      </c>
      <c r="E56" t="s">
        <v>571</v>
      </c>
      <c r="F56">
        <v>1</v>
      </c>
    </row>
    <row r="57" spans="1:6" x14ac:dyDescent="0.2">
      <c r="A57" s="11">
        <v>56</v>
      </c>
      <c r="B57" s="25">
        <v>8</v>
      </c>
      <c r="C57" t="s">
        <v>523</v>
      </c>
      <c r="E57" t="s">
        <v>572</v>
      </c>
      <c r="F57">
        <v>1</v>
      </c>
    </row>
    <row r="58" spans="1:6" x14ac:dyDescent="0.2">
      <c r="A58" s="11">
        <v>57</v>
      </c>
      <c r="B58" s="25">
        <v>7</v>
      </c>
      <c r="C58" t="s">
        <v>527</v>
      </c>
      <c r="D58" t="s">
        <v>573</v>
      </c>
    </row>
    <row r="59" spans="1:6" x14ac:dyDescent="0.2">
      <c r="A59" s="11">
        <v>58</v>
      </c>
      <c r="B59" s="25">
        <v>8</v>
      </c>
      <c r="C59" t="s">
        <v>523</v>
      </c>
      <c r="E59" t="s">
        <v>574</v>
      </c>
    </row>
    <row r="60" spans="1:6" x14ac:dyDescent="0.2">
      <c r="A60" s="11">
        <v>59</v>
      </c>
      <c r="B60" s="25">
        <v>10</v>
      </c>
      <c r="C60" t="s">
        <v>527</v>
      </c>
      <c r="D60" t="s">
        <v>546</v>
      </c>
    </row>
    <row r="61" spans="1:6" x14ac:dyDescent="0.2">
      <c r="A61" s="11">
        <v>60</v>
      </c>
      <c r="B61" s="25">
        <v>9</v>
      </c>
      <c r="C61" t="s">
        <v>523</v>
      </c>
      <c r="E61" t="s">
        <v>575</v>
      </c>
      <c r="F61">
        <v>1</v>
      </c>
    </row>
    <row r="62" spans="1:6" x14ac:dyDescent="0.2">
      <c r="A62" s="11">
        <v>61</v>
      </c>
      <c r="B62" s="25">
        <v>7</v>
      </c>
      <c r="C62" t="s">
        <v>535</v>
      </c>
      <c r="D62" t="s">
        <v>576</v>
      </c>
      <c r="E62" t="s">
        <v>577</v>
      </c>
      <c r="F62">
        <v>1</v>
      </c>
    </row>
    <row r="63" spans="1:6" x14ac:dyDescent="0.2">
      <c r="A63" s="11">
        <v>62</v>
      </c>
      <c r="B63" s="25">
        <v>6</v>
      </c>
      <c r="C63" t="s">
        <v>535</v>
      </c>
      <c r="D63" t="s">
        <v>578</v>
      </c>
      <c r="E63" t="s">
        <v>579</v>
      </c>
    </row>
    <row r="64" spans="1:6" x14ac:dyDescent="0.2">
      <c r="A64" s="11">
        <v>63</v>
      </c>
      <c r="B64" s="25">
        <v>10</v>
      </c>
      <c r="C64" t="s">
        <v>527</v>
      </c>
      <c r="D64" t="s">
        <v>531</v>
      </c>
    </row>
    <row r="65" spans="1:7" x14ac:dyDescent="0.2">
      <c r="A65" s="11">
        <v>64</v>
      </c>
      <c r="B65" s="25">
        <v>7</v>
      </c>
      <c r="C65" t="s">
        <v>523</v>
      </c>
      <c r="E65" t="s">
        <v>581</v>
      </c>
      <c r="F65">
        <v>1</v>
      </c>
    </row>
    <row r="66" spans="1:7" x14ac:dyDescent="0.2">
      <c r="A66" s="11">
        <v>65</v>
      </c>
      <c r="B66" s="25">
        <v>10</v>
      </c>
      <c r="C66" t="s">
        <v>523</v>
      </c>
      <c r="E66" t="s">
        <v>580</v>
      </c>
    </row>
    <row r="67" spans="1:7" x14ac:dyDescent="0.2">
      <c r="F67">
        <f>SUM(F2:F66)</f>
        <v>20</v>
      </c>
      <c r="G67">
        <f>20/65</f>
        <v>0.30769230769230771</v>
      </c>
    </row>
    <row r="70" spans="1:7" x14ac:dyDescent="0.2">
      <c r="A70" t="s">
        <v>584</v>
      </c>
      <c r="E70" t="s">
        <v>582</v>
      </c>
    </row>
    <row r="71" spans="1:7" x14ac:dyDescent="0.2">
      <c r="A71" t="s">
        <v>585</v>
      </c>
    </row>
    <row r="73" spans="1:7" x14ac:dyDescent="0.2">
      <c r="B73" t="s">
        <v>523</v>
      </c>
      <c r="C73">
        <f>COUNTIF(C2:C66,"Y")</f>
        <v>36</v>
      </c>
      <c r="D73" s="21">
        <f>C73/C77</f>
        <v>0.55384615384615388</v>
      </c>
      <c r="E73">
        <v>55</v>
      </c>
    </row>
    <row r="74" spans="1:7" x14ac:dyDescent="0.2">
      <c r="B74" t="s">
        <v>586</v>
      </c>
      <c r="C74">
        <v>22</v>
      </c>
      <c r="D74" s="21">
        <f>C74/C77</f>
        <v>0.33846153846153848</v>
      </c>
      <c r="E74">
        <v>34</v>
      </c>
    </row>
    <row r="75" spans="1:7" x14ac:dyDescent="0.2">
      <c r="B75" t="s">
        <v>535</v>
      </c>
      <c r="C75">
        <f>COUNTIF(C2:C66,"Y/N")</f>
        <v>7</v>
      </c>
      <c r="D75" s="21">
        <f>C75/C77</f>
        <v>0.1076923076923077</v>
      </c>
      <c r="E75">
        <v>11</v>
      </c>
    </row>
    <row r="76" spans="1:7" x14ac:dyDescent="0.2">
      <c r="D76" s="21"/>
      <c r="E76">
        <f>SUM(E73:E75)</f>
        <v>100</v>
      </c>
    </row>
    <row r="77" spans="1:7" x14ac:dyDescent="0.2">
      <c r="C77">
        <f>SUM(C73:C76)</f>
        <v>65</v>
      </c>
      <c r="D77" s="21">
        <f>SUM(D73:D76)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04B2-883A-B849-AD2E-388AB795D75B}">
  <dimension ref="A1:E84"/>
  <sheetViews>
    <sheetView workbookViewId="0">
      <selection activeCell="B75" sqref="B75"/>
    </sheetView>
  </sheetViews>
  <sheetFormatPr baseColWidth="10" defaultRowHeight="19" x14ac:dyDescent="0.25"/>
  <cols>
    <col min="3" max="3" width="8.6640625" style="30" customWidth="1"/>
    <col min="4" max="4" width="13.6640625" customWidth="1"/>
  </cols>
  <sheetData>
    <row r="1" spans="1:4" x14ac:dyDescent="0.25">
      <c r="D1" t="s">
        <v>587</v>
      </c>
    </row>
    <row r="2" spans="1:4" x14ac:dyDescent="0.25">
      <c r="A2" s="27">
        <v>1</v>
      </c>
      <c r="B2" s="28">
        <v>8.5</v>
      </c>
      <c r="C2" s="30" t="s">
        <v>106</v>
      </c>
    </row>
    <row r="3" spans="1:4" x14ac:dyDescent="0.25">
      <c r="A3" s="27">
        <v>2</v>
      </c>
      <c r="B3" s="28">
        <v>7</v>
      </c>
      <c r="C3" s="30" t="s">
        <v>106</v>
      </c>
    </row>
    <row r="4" spans="1:4" x14ac:dyDescent="0.25">
      <c r="A4" s="27">
        <v>3</v>
      </c>
      <c r="B4" s="28">
        <v>5.5</v>
      </c>
      <c r="C4" s="30" t="s">
        <v>106</v>
      </c>
    </row>
    <row r="5" spans="1:4" x14ac:dyDescent="0.25">
      <c r="A5" s="27">
        <v>4</v>
      </c>
      <c r="B5" s="28">
        <v>2.5</v>
      </c>
      <c r="C5" s="30" t="s">
        <v>106</v>
      </c>
    </row>
    <row r="6" spans="1:4" x14ac:dyDescent="0.25">
      <c r="A6" s="27">
        <v>5</v>
      </c>
      <c r="B6" s="28">
        <v>10</v>
      </c>
      <c r="C6" s="30" t="s">
        <v>106</v>
      </c>
    </row>
    <row r="7" spans="1:4" x14ac:dyDescent="0.25">
      <c r="A7" s="27">
        <v>6</v>
      </c>
      <c r="B7" s="28">
        <v>9</v>
      </c>
      <c r="C7" s="30" t="s">
        <v>106</v>
      </c>
    </row>
    <row r="8" spans="1:4" x14ac:dyDescent="0.25">
      <c r="A8" s="27">
        <v>7</v>
      </c>
      <c r="B8" s="28">
        <v>6.5</v>
      </c>
      <c r="C8" s="30">
        <v>0</v>
      </c>
      <c r="D8" t="s">
        <v>588</v>
      </c>
    </row>
    <row r="9" spans="1:4" x14ac:dyDescent="0.25">
      <c r="A9" s="27">
        <v>8</v>
      </c>
      <c r="B9" s="28">
        <v>7</v>
      </c>
      <c r="C9" s="31" t="s">
        <v>106</v>
      </c>
    </row>
    <row r="10" spans="1:4" x14ac:dyDescent="0.25">
      <c r="A10" s="27">
        <v>9</v>
      </c>
      <c r="B10" s="28">
        <v>4</v>
      </c>
      <c r="C10" s="31" t="s">
        <v>106</v>
      </c>
    </row>
    <row r="11" spans="1:4" x14ac:dyDescent="0.25">
      <c r="A11" s="27">
        <v>10</v>
      </c>
      <c r="B11" s="28">
        <v>10</v>
      </c>
      <c r="C11" s="30">
        <v>1</v>
      </c>
    </row>
    <row r="12" spans="1:4" x14ac:dyDescent="0.25">
      <c r="A12" s="27">
        <v>11</v>
      </c>
      <c r="B12" s="28">
        <v>7</v>
      </c>
      <c r="C12" s="31" t="s">
        <v>106</v>
      </c>
    </row>
    <row r="13" spans="1:4" x14ac:dyDescent="0.25">
      <c r="A13" s="27">
        <v>12</v>
      </c>
      <c r="B13" s="28">
        <v>4</v>
      </c>
      <c r="C13" s="31" t="s">
        <v>106</v>
      </c>
    </row>
    <row r="14" spans="1:4" x14ac:dyDescent="0.25">
      <c r="A14" s="27">
        <v>13</v>
      </c>
      <c r="B14" s="29">
        <v>8.5</v>
      </c>
      <c r="C14" s="30">
        <v>1</v>
      </c>
    </row>
    <row r="15" spans="1:4" x14ac:dyDescent="0.25">
      <c r="A15" s="27">
        <v>14</v>
      </c>
      <c r="B15" s="29">
        <v>8.5</v>
      </c>
      <c r="C15" s="30">
        <v>0</v>
      </c>
      <c r="D15" t="s">
        <v>589</v>
      </c>
    </row>
    <row r="16" spans="1:4" x14ac:dyDescent="0.25">
      <c r="A16" s="27">
        <v>15</v>
      </c>
      <c r="B16" s="29">
        <v>6.5</v>
      </c>
      <c r="C16" s="31">
        <v>0</v>
      </c>
      <c r="D16" t="s">
        <v>590</v>
      </c>
    </row>
    <row r="17" spans="1:5" x14ac:dyDescent="0.25">
      <c r="A17" s="27">
        <v>16</v>
      </c>
      <c r="B17" s="29">
        <v>3</v>
      </c>
      <c r="C17" s="31">
        <v>0</v>
      </c>
      <c r="D17" t="s">
        <v>591</v>
      </c>
    </row>
    <row r="18" spans="1:5" x14ac:dyDescent="0.25">
      <c r="A18" s="27">
        <v>17</v>
      </c>
      <c r="B18" s="29">
        <v>9.5</v>
      </c>
      <c r="C18" s="31">
        <v>0</v>
      </c>
      <c r="D18" t="s">
        <v>592</v>
      </c>
    </row>
    <row r="19" spans="1:5" x14ac:dyDescent="0.25">
      <c r="A19" s="27">
        <v>18</v>
      </c>
      <c r="B19" s="29">
        <v>6</v>
      </c>
      <c r="C19" s="31">
        <v>0</v>
      </c>
      <c r="D19" t="s">
        <v>531</v>
      </c>
    </row>
    <row r="20" spans="1:5" x14ac:dyDescent="0.25">
      <c r="A20" s="27">
        <v>19</v>
      </c>
      <c r="B20" s="29">
        <v>9</v>
      </c>
      <c r="C20" s="31">
        <v>0</v>
      </c>
      <c r="D20" t="s">
        <v>593</v>
      </c>
    </row>
    <row r="21" spans="1:5" x14ac:dyDescent="0.25">
      <c r="A21" s="27">
        <v>20</v>
      </c>
      <c r="B21" s="29">
        <v>7</v>
      </c>
      <c r="C21" s="31">
        <v>0</v>
      </c>
      <c r="D21" t="s">
        <v>546</v>
      </c>
    </row>
    <row r="22" spans="1:5" x14ac:dyDescent="0.25">
      <c r="A22" s="27">
        <v>21</v>
      </c>
      <c r="B22" s="29">
        <v>5</v>
      </c>
      <c r="C22" s="31">
        <v>0</v>
      </c>
      <c r="D22" t="s">
        <v>594</v>
      </c>
    </row>
    <row r="23" spans="1:5" x14ac:dyDescent="0.25">
      <c r="A23" s="27">
        <v>22</v>
      </c>
      <c r="B23" s="29">
        <v>5.5</v>
      </c>
      <c r="C23" s="31">
        <v>0</v>
      </c>
      <c r="D23" t="s">
        <v>595</v>
      </c>
    </row>
    <row r="24" spans="1:5" x14ac:dyDescent="0.25">
      <c r="A24" s="27">
        <v>23</v>
      </c>
      <c r="B24" s="29">
        <v>6.5</v>
      </c>
      <c r="C24" s="31">
        <v>0</v>
      </c>
      <c r="D24" t="s">
        <v>531</v>
      </c>
      <c r="E24" t="s">
        <v>606</v>
      </c>
    </row>
    <row r="25" spans="1:5" x14ac:dyDescent="0.25">
      <c r="A25" s="27">
        <v>24</v>
      </c>
      <c r="B25" s="29">
        <v>10.5</v>
      </c>
      <c r="C25" s="31">
        <v>1</v>
      </c>
    </row>
    <row r="26" spans="1:5" x14ac:dyDescent="0.25">
      <c r="A26" s="27">
        <v>25</v>
      </c>
      <c r="B26" s="29">
        <v>13</v>
      </c>
      <c r="C26" s="31">
        <v>0</v>
      </c>
      <c r="D26" t="s">
        <v>596</v>
      </c>
    </row>
    <row r="27" spans="1:5" x14ac:dyDescent="0.25">
      <c r="A27" s="27">
        <v>26</v>
      </c>
      <c r="B27" s="29">
        <v>11</v>
      </c>
      <c r="C27" s="31">
        <v>0</v>
      </c>
      <c r="D27" t="s">
        <v>597</v>
      </c>
    </row>
    <row r="28" spans="1:5" x14ac:dyDescent="0.25">
      <c r="A28" s="27">
        <v>27</v>
      </c>
      <c r="B28" s="29">
        <v>9</v>
      </c>
      <c r="C28" s="31">
        <v>1</v>
      </c>
    </row>
    <row r="29" spans="1:5" x14ac:dyDescent="0.25">
      <c r="A29" s="27">
        <v>28</v>
      </c>
      <c r="B29" s="29">
        <v>11</v>
      </c>
      <c r="C29" s="31">
        <v>0</v>
      </c>
      <c r="D29" t="s">
        <v>596</v>
      </c>
    </row>
    <row r="30" spans="1:5" x14ac:dyDescent="0.25">
      <c r="A30" s="27">
        <v>29</v>
      </c>
      <c r="B30" s="29">
        <v>8.5</v>
      </c>
      <c r="C30" s="31">
        <v>1</v>
      </c>
    </row>
    <row r="31" spans="1:5" x14ac:dyDescent="0.25">
      <c r="A31" s="27">
        <v>30</v>
      </c>
      <c r="B31" s="29">
        <v>5.5</v>
      </c>
      <c r="C31" s="31">
        <v>0</v>
      </c>
      <c r="D31" t="s">
        <v>548</v>
      </c>
    </row>
    <row r="32" spans="1:5" x14ac:dyDescent="0.25">
      <c r="A32" s="27">
        <v>31</v>
      </c>
      <c r="B32" s="29">
        <v>13</v>
      </c>
      <c r="C32" s="31">
        <v>1</v>
      </c>
    </row>
    <row r="33" spans="1:4" x14ac:dyDescent="0.25">
      <c r="A33" s="27">
        <v>32</v>
      </c>
      <c r="B33" s="29">
        <v>11.5</v>
      </c>
      <c r="C33" s="31">
        <v>1</v>
      </c>
    </row>
    <row r="34" spans="1:4" x14ac:dyDescent="0.25">
      <c r="A34" s="27">
        <v>33</v>
      </c>
      <c r="B34" s="29">
        <v>8</v>
      </c>
      <c r="C34" s="31">
        <v>0</v>
      </c>
      <c r="D34" t="s">
        <v>531</v>
      </c>
    </row>
    <row r="35" spans="1:4" x14ac:dyDescent="0.25">
      <c r="A35" s="27">
        <v>34</v>
      </c>
      <c r="B35" s="29">
        <v>5</v>
      </c>
      <c r="C35" s="31" t="s">
        <v>106</v>
      </c>
    </row>
    <row r="36" spans="1:4" x14ac:dyDescent="0.25">
      <c r="A36" s="27">
        <v>35</v>
      </c>
      <c r="B36" s="29">
        <v>9</v>
      </c>
      <c r="C36" s="31">
        <v>1</v>
      </c>
    </row>
    <row r="37" spans="1:4" x14ac:dyDescent="0.25">
      <c r="A37" s="27">
        <v>36</v>
      </c>
      <c r="B37" s="29">
        <v>7</v>
      </c>
      <c r="C37" s="31">
        <v>0</v>
      </c>
      <c r="D37" t="s">
        <v>531</v>
      </c>
    </row>
    <row r="38" spans="1:4" x14ac:dyDescent="0.25">
      <c r="A38" s="27">
        <v>37</v>
      </c>
      <c r="B38" s="29">
        <v>11</v>
      </c>
      <c r="C38" s="31">
        <v>1</v>
      </c>
    </row>
    <row r="39" spans="1:4" x14ac:dyDescent="0.25">
      <c r="A39" s="27">
        <v>38</v>
      </c>
      <c r="B39" s="29">
        <v>8.5</v>
      </c>
      <c r="C39" s="31">
        <v>1</v>
      </c>
    </row>
    <row r="40" spans="1:4" x14ac:dyDescent="0.25">
      <c r="A40" s="27">
        <v>39</v>
      </c>
      <c r="B40" s="29">
        <v>7</v>
      </c>
      <c r="C40" s="31">
        <v>0</v>
      </c>
      <c r="D40" t="s">
        <v>548</v>
      </c>
    </row>
    <row r="41" spans="1:4" x14ac:dyDescent="0.25">
      <c r="A41" s="27">
        <v>40</v>
      </c>
      <c r="B41" s="29">
        <v>5.5</v>
      </c>
      <c r="C41" s="30">
        <v>0</v>
      </c>
      <c r="D41" t="s">
        <v>548</v>
      </c>
    </row>
    <row r="42" spans="1:4" x14ac:dyDescent="0.25">
      <c r="A42" s="27">
        <v>41</v>
      </c>
      <c r="B42" s="29">
        <v>5</v>
      </c>
      <c r="C42" s="30">
        <v>0</v>
      </c>
      <c r="D42" t="s">
        <v>598</v>
      </c>
    </row>
    <row r="43" spans="1:4" x14ac:dyDescent="0.25">
      <c r="A43" s="27">
        <v>42</v>
      </c>
      <c r="B43" s="29">
        <v>12</v>
      </c>
      <c r="C43" s="30">
        <v>1</v>
      </c>
    </row>
    <row r="44" spans="1:4" x14ac:dyDescent="0.25">
      <c r="A44" s="27">
        <v>43</v>
      </c>
      <c r="B44" s="29">
        <v>10</v>
      </c>
      <c r="C44" s="30">
        <v>1</v>
      </c>
    </row>
    <row r="45" spans="1:4" x14ac:dyDescent="0.25">
      <c r="A45" s="27">
        <v>44</v>
      </c>
      <c r="B45" s="29">
        <v>7</v>
      </c>
      <c r="C45" s="30">
        <v>0</v>
      </c>
      <c r="D45" t="s">
        <v>548</v>
      </c>
    </row>
    <row r="46" spans="1:4" x14ac:dyDescent="0.25">
      <c r="A46" s="27">
        <v>45</v>
      </c>
      <c r="B46" s="29">
        <v>8</v>
      </c>
      <c r="C46" s="30">
        <v>1</v>
      </c>
    </row>
    <row r="47" spans="1:4" x14ac:dyDescent="0.25">
      <c r="A47" s="27">
        <v>46</v>
      </c>
      <c r="B47" s="29">
        <v>12</v>
      </c>
      <c r="C47" s="31">
        <v>0</v>
      </c>
      <c r="D47" t="s">
        <v>589</v>
      </c>
    </row>
    <row r="48" spans="1:4" x14ac:dyDescent="0.25">
      <c r="A48" s="27">
        <v>47</v>
      </c>
      <c r="B48" s="29">
        <v>4.5</v>
      </c>
      <c r="C48" s="30">
        <v>0</v>
      </c>
      <c r="D48" t="s">
        <v>531</v>
      </c>
    </row>
    <row r="49" spans="1:4" x14ac:dyDescent="0.25">
      <c r="A49" s="27">
        <v>48</v>
      </c>
      <c r="B49" s="29">
        <v>4.5</v>
      </c>
      <c r="C49" s="30">
        <v>0</v>
      </c>
      <c r="D49" t="s">
        <v>599</v>
      </c>
    </row>
    <row r="50" spans="1:4" x14ac:dyDescent="0.25">
      <c r="A50" s="27">
        <v>49</v>
      </c>
      <c r="B50" s="29">
        <v>10</v>
      </c>
      <c r="C50" s="30">
        <v>0</v>
      </c>
      <c r="D50" t="s">
        <v>589</v>
      </c>
    </row>
    <row r="51" spans="1:4" x14ac:dyDescent="0.25">
      <c r="A51" s="27">
        <v>50</v>
      </c>
      <c r="B51" s="29">
        <v>7</v>
      </c>
      <c r="C51" s="30">
        <v>0</v>
      </c>
      <c r="D51" t="s">
        <v>600</v>
      </c>
    </row>
    <row r="52" spans="1:4" x14ac:dyDescent="0.25">
      <c r="A52" s="27">
        <v>51</v>
      </c>
      <c r="B52" s="29">
        <v>10.5</v>
      </c>
      <c r="C52" s="30">
        <v>0</v>
      </c>
      <c r="D52" t="s">
        <v>548</v>
      </c>
    </row>
    <row r="53" spans="1:4" x14ac:dyDescent="0.25">
      <c r="A53" s="27">
        <v>52</v>
      </c>
      <c r="B53" s="29">
        <v>8</v>
      </c>
      <c r="C53" s="30">
        <v>0</v>
      </c>
      <c r="D53" t="s">
        <v>589</v>
      </c>
    </row>
    <row r="54" spans="1:4" x14ac:dyDescent="0.25">
      <c r="A54" s="27">
        <v>53</v>
      </c>
      <c r="B54" s="29">
        <v>9</v>
      </c>
      <c r="C54" s="30">
        <v>0</v>
      </c>
      <c r="D54" t="s">
        <v>601</v>
      </c>
    </row>
    <row r="55" spans="1:4" x14ac:dyDescent="0.25">
      <c r="A55" s="27">
        <v>54</v>
      </c>
      <c r="B55" s="29">
        <v>6</v>
      </c>
      <c r="C55" s="30">
        <v>0</v>
      </c>
      <c r="D55" t="s">
        <v>602</v>
      </c>
    </row>
    <row r="56" spans="1:4" x14ac:dyDescent="0.25">
      <c r="A56" s="27">
        <v>55</v>
      </c>
      <c r="B56" s="29">
        <v>10</v>
      </c>
      <c r="C56" s="30">
        <v>1</v>
      </c>
    </row>
    <row r="57" spans="1:4" x14ac:dyDescent="0.25">
      <c r="A57" s="27">
        <v>56</v>
      </c>
      <c r="B57" s="29">
        <v>8</v>
      </c>
      <c r="C57" s="30">
        <v>0</v>
      </c>
      <c r="D57" t="s">
        <v>548</v>
      </c>
    </row>
    <row r="58" spans="1:4" x14ac:dyDescent="0.25">
      <c r="A58" s="27">
        <v>57</v>
      </c>
      <c r="B58" s="29">
        <v>7</v>
      </c>
      <c r="C58" s="30">
        <v>0</v>
      </c>
      <c r="D58" t="s">
        <v>589</v>
      </c>
    </row>
    <row r="59" spans="1:4" x14ac:dyDescent="0.25">
      <c r="A59" s="27">
        <v>58</v>
      </c>
      <c r="B59" s="29">
        <v>8</v>
      </c>
      <c r="C59" s="30">
        <v>1</v>
      </c>
    </row>
    <row r="60" spans="1:4" x14ac:dyDescent="0.25">
      <c r="A60" s="27">
        <v>59</v>
      </c>
      <c r="B60" s="29">
        <v>10</v>
      </c>
      <c r="C60" s="30">
        <v>0</v>
      </c>
      <c r="D60" t="s">
        <v>589</v>
      </c>
    </row>
    <row r="61" spans="1:4" x14ac:dyDescent="0.25">
      <c r="A61" s="27">
        <v>60</v>
      </c>
      <c r="B61" s="29">
        <v>9</v>
      </c>
      <c r="C61" s="30">
        <v>0</v>
      </c>
      <c r="D61" t="s">
        <v>548</v>
      </c>
    </row>
    <row r="62" spans="1:4" x14ac:dyDescent="0.25">
      <c r="A62" s="27">
        <v>61</v>
      </c>
      <c r="B62" s="29">
        <v>7</v>
      </c>
      <c r="C62" s="30">
        <v>0</v>
      </c>
      <c r="D62" t="s">
        <v>548</v>
      </c>
    </row>
    <row r="63" spans="1:4" x14ac:dyDescent="0.25">
      <c r="A63" s="27">
        <v>62</v>
      </c>
      <c r="B63" s="29">
        <v>6</v>
      </c>
      <c r="C63" s="30">
        <v>0</v>
      </c>
      <c r="D63" t="s">
        <v>603</v>
      </c>
    </row>
    <row r="64" spans="1:4" x14ac:dyDescent="0.25">
      <c r="A64" s="27">
        <v>63</v>
      </c>
      <c r="B64" s="29">
        <v>10</v>
      </c>
      <c r="C64" s="30">
        <v>0</v>
      </c>
      <c r="D64" t="s">
        <v>548</v>
      </c>
    </row>
    <row r="65" spans="1:5" x14ac:dyDescent="0.25">
      <c r="A65" s="27">
        <v>64</v>
      </c>
      <c r="B65" s="29">
        <v>7</v>
      </c>
      <c r="C65" s="30">
        <v>0</v>
      </c>
      <c r="D65" t="s">
        <v>548</v>
      </c>
    </row>
    <row r="66" spans="1:5" x14ac:dyDescent="0.25">
      <c r="A66" s="27">
        <v>65</v>
      </c>
      <c r="B66" s="29">
        <v>10</v>
      </c>
      <c r="C66" s="30">
        <v>1</v>
      </c>
    </row>
    <row r="69" spans="1:5" x14ac:dyDescent="0.25">
      <c r="B69" t="s">
        <v>555</v>
      </c>
      <c r="C69" s="30">
        <f>COUNTIF(C2:C66,"n/a")</f>
        <v>11</v>
      </c>
      <c r="D69" t="s">
        <v>548</v>
      </c>
      <c r="E69">
        <f>COUNTIF(D2:D66,"maanali")</f>
        <v>10</v>
      </c>
    </row>
    <row r="70" spans="1:5" x14ac:dyDescent="0.25">
      <c r="B70">
        <v>1</v>
      </c>
      <c r="C70" s="30">
        <f>COUNTIF(C2:C66,"1")</f>
        <v>16</v>
      </c>
      <c r="D70" t="s">
        <v>589</v>
      </c>
      <c r="E70">
        <f>COUNTIF(D2:D66,"qeamata")</f>
        <v>6</v>
      </c>
    </row>
    <row r="71" spans="1:5" x14ac:dyDescent="0.25">
      <c r="B71">
        <v>0</v>
      </c>
      <c r="C71" s="30">
        <f>COUNTIF(C2:C66,"0")</f>
        <v>38</v>
      </c>
      <c r="D71" t="s">
        <v>531</v>
      </c>
      <c r="E71">
        <f>COUNTIF(D2:D66,"no answer")</f>
        <v>5</v>
      </c>
    </row>
    <row r="72" spans="1:5" x14ac:dyDescent="0.25">
      <c r="C72" s="30">
        <f>SUM(C69:C71)</f>
        <v>65</v>
      </c>
      <c r="D72" t="s">
        <v>597</v>
      </c>
      <c r="E72">
        <v>3</v>
      </c>
    </row>
    <row r="73" spans="1:5" x14ac:dyDescent="0.25">
      <c r="D73" t="s">
        <v>604</v>
      </c>
      <c r="E73">
        <v>3</v>
      </c>
    </row>
    <row r="74" spans="1:5" x14ac:dyDescent="0.25">
      <c r="D74" t="s">
        <v>605</v>
      </c>
      <c r="E74">
        <v>3</v>
      </c>
    </row>
    <row r="75" spans="1:5" x14ac:dyDescent="0.25">
      <c r="B75">
        <f>16+38</f>
        <v>54</v>
      </c>
      <c r="D75" t="s">
        <v>607</v>
      </c>
      <c r="E75">
        <v>2</v>
      </c>
    </row>
    <row r="76" spans="1:5" x14ac:dyDescent="0.25">
      <c r="D76" t="s">
        <v>546</v>
      </c>
      <c r="E76">
        <v>1</v>
      </c>
    </row>
    <row r="77" spans="1:5" x14ac:dyDescent="0.25">
      <c r="D77" t="s">
        <v>608</v>
      </c>
      <c r="E77">
        <v>1</v>
      </c>
    </row>
    <row r="78" spans="1:5" x14ac:dyDescent="0.25">
      <c r="D78" t="s">
        <v>609</v>
      </c>
      <c r="E78">
        <v>1</v>
      </c>
    </row>
    <row r="79" spans="1:5" x14ac:dyDescent="0.25">
      <c r="D79" t="s">
        <v>593</v>
      </c>
      <c r="E79">
        <v>1</v>
      </c>
    </row>
    <row r="80" spans="1:5" x14ac:dyDescent="0.25">
      <c r="D80" t="s">
        <v>602</v>
      </c>
      <c r="E80">
        <v>1</v>
      </c>
    </row>
    <row r="81" spans="1:5" x14ac:dyDescent="0.25">
      <c r="D81" t="s">
        <v>591</v>
      </c>
      <c r="E81">
        <v>1</v>
      </c>
    </row>
    <row r="82" spans="1:5" x14ac:dyDescent="0.25">
      <c r="E82">
        <f>SUM(E69:E81)</f>
        <v>38</v>
      </c>
    </row>
    <row r="84" spans="1:5" x14ac:dyDescent="0.25">
      <c r="A84">
        <f>16/54</f>
        <v>0.29629629629629628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F57D-5DCA-AA4B-817E-FBEBA87DFC84}">
  <dimension ref="A1:B37"/>
  <sheetViews>
    <sheetView workbookViewId="0">
      <selection activeCell="A8" sqref="A8:XFD8"/>
    </sheetView>
  </sheetViews>
  <sheetFormatPr baseColWidth="10" defaultColWidth="11" defaultRowHeight="16" x14ac:dyDescent="0.2"/>
  <sheetData>
    <row r="1" spans="1:1" x14ac:dyDescent="0.2">
      <c r="A1" t="s">
        <v>472</v>
      </c>
    </row>
    <row r="2" spans="1:1" x14ac:dyDescent="0.2">
      <c r="A2" t="s">
        <v>473</v>
      </c>
    </row>
    <row r="4" spans="1:1" x14ac:dyDescent="0.2">
      <c r="A4" s="19" t="s">
        <v>474</v>
      </c>
    </row>
    <row r="5" spans="1:1" x14ac:dyDescent="0.2">
      <c r="A5" t="s">
        <v>475</v>
      </c>
    </row>
    <row r="6" spans="1:1" x14ac:dyDescent="0.2">
      <c r="A6" t="s">
        <v>476</v>
      </c>
    </row>
    <row r="7" spans="1:1" x14ac:dyDescent="0.2">
      <c r="A7" t="s">
        <v>477</v>
      </c>
    </row>
    <row r="9" spans="1:1" x14ac:dyDescent="0.2">
      <c r="A9" s="19" t="s">
        <v>478</v>
      </c>
    </row>
    <row r="10" spans="1:1" x14ac:dyDescent="0.2">
      <c r="A10" t="s">
        <v>479</v>
      </c>
    </row>
    <row r="11" spans="1:1" x14ac:dyDescent="0.2">
      <c r="A11" t="s">
        <v>480</v>
      </c>
    </row>
    <row r="12" spans="1:1" x14ac:dyDescent="0.2">
      <c r="A12" t="s">
        <v>481</v>
      </c>
    </row>
    <row r="13" spans="1:1" x14ac:dyDescent="0.2">
      <c r="A13" t="s">
        <v>482</v>
      </c>
    </row>
    <row r="14" spans="1:1" x14ac:dyDescent="0.2">
      <c r="A14" t="s">
        <v>483</v>
      </c>
    </row>
    <row r="15" spans="1:1" x14ac:dyDescent="0.2">
      <c r="A15" t="s">
        <v>484</v>
      </c>
    </row>
    <row r="16" spans="1:1" x14ac:dyDescent="0.2">
      <c r="A16" t="s">
        <v>485</v>
      </c>
    </row>
    <row r="18" spans="1:2" x14ac:dyDescent="0.2">
      <c r="A18" t="s">
        <v>486</v>
      </c>
    </row>
    <row r="19" spans="1:2" x14ac:dyDescent="0.2">
      <c r="A19" t="s">
        <v>487</v>
      </c>
    </row>
    <row r="20" spans="1:2" x14ac:dyDescent="0.2">
      <c r="A20" t="s">
        <v>488</v>
      </c>
    </row>
    <row r="21" spans="1:2" x14ac:dyDescent="0.2">
      <c r="A21" s="19" t="s">
        <v>489</v>
      </c>
    </row>
    <row r="22" spans="1:2" x14ac:dyDescent="0.2">
      <c r="A22" t="s">
        <v>490</v>
      </c>
    </row>
    <row r="23" spans="1:2" x14ac:dyDescent="0.2">
      <c r="B23" t="s">
        <v>491</v>
      </c>
    </row>
    <row r="24" spans="1:2" x14ac:dyDescent="0.2">
      <c r="A24" t="s">
        <v>492</v>
      </c>
    </row>
    <row r="25" spans="1:2" x14ac:dyDescent="0.2">
      <c r="A25" t="s">
        <v>493</v>
      </c>
    </row>
    <row r="26" spans="1:2" x14ac:dyDescent="0.2">
      <c r="B26" t="s">
        <v>494</v>
      </c>
    </row>
    <row r="27" spans="1:2" x14ac:dyDescent="0.2">
      <c r="A27" t="s">
        <v>495</v>
      </c>
    </row>
    <row r="28" spans="1:2" x14ac:dyDescent="0.2">
      <c r="B28" t="s">
        <v>496</v>
      </c>
    </row>
    <row r="29" spans="1:2" x14ac:dyDescent="0.2">
      <c r="A29" t="s">
        <v>497</v>
      </c>
    </row>
    <row r="30" spans="1:2" x14ac:dyDescent="0.2">
      <c r="B30" t="s">
        <v>498</v>
      </c>
    </row>
    <row r="31" spans="1:2" x14ac:dyDescent="0.2">
      <c r="A31" t="s">
        <v>499</v>
      </c>
    </row>
    <row r="32" spans="1:2" x14ac:dyDescent="0.2">
      <c r="A32" t="s">
        <v>500</v>
      </c>
    </row>
    <row r="33" spans="1:2" x14ac:dyDescent="0.2">
      <c r="A33" t="s">
        <v>501</v>
      </c>
    </row>
    <row r="34" spans="1:2" x14ac:dyDescent="0.2">
      <c r="B34" t="s">
        <v>502</v>
      </c>
    </row>
    <row r="35" spans="1:2" x14ac:dyDescent="0.2">
      <c r="A35" s="19" t="s">
        <v>503</v>
      </c>
    </row>
    <row r="36" spans="1:2" x14ac:dyDescent="0.2">
      <c r="A36" t="s">
        <v>504</v>
      </c>
    </row>
    <row r="37" spans="1:2" x14ac:dyDescent="0.2">
      <c r="A37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Results</vt:lpstr>
      <vt:lpstr>Metadata</vt:lpstr>
      <vt:lpstr>Genealogical data</vt:lpstr>
      <vt:lpstr>Q5</vt:lpstr>
      <vt:lpstr>Q6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Mitchell</dc:creator>
  <cp:keywords/>
  <dc:description/>
  <cp:lastModifiedBy>Sam Passmore</cp:lastModifiedBy>
  <cp:revision/>
  <dcterms:created xsi:type="dcterms:W3CDTF">2019-02-08T15:24:50Z</dcterms:created>
  <dcterms:modified xsi:type="dcterms:W3CDTF">2020-10-20T20:03:42Z</dcterms:modified>
  <cp:category/>
  <cp:contentStatus/>
</cp:coreProperties>
</file>