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16194/OneDrive - University of Bristol/projects/Datooga kinship interviews/code/data/"/>
    </mc:Choice>
  </mc:AlternateContent>
  <xr:revisionPtr revIDLastSave="0" documentId="13_ncr:1_{7DE253D4-5646-E44B-B18F-2B66769AA14C}" xr6:coauthVersionLast="45" xr6:coauthVersionMax="45" xr10:uidLastSave="{00000000-0000-0000-0000-000000000000}"/>
  <bookViews>
    <workbookView xWindow="0" yWindow="460" windowWidth="28800" windowHeight="15840" xr2:uid="{00000000-000D-0000-FFFF-FFFF00000000}"/>
  </bookViews>
  <sheets>
    <sheet name="list_ranking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8" i="1" l="1"/>
  <c r="B78" i="1"/>
  <c r="B72" i="1"/>
  <c r="C76" i="1" l="1"/>
  <c r="C75" i="1"/>
  <c r="C74" i="1"/>
  <c r="C73" i="1"/>
  <c r="C72" i="1"/>
  <c r="C77" i="1" s="1"/>
  <c r="B76" i="1"/>
  <c r="B75" i="1"/>
  <c r="B74" i="1"/>
  <c r="B73" i="1"/>
  <c r="B77" i="1"/>
  <c r="C68" i="1" l="1"/>
  <c r="C69" i="1" s="1"/>
  <c r="D68" i="1"/>
  <c r="D69" i="1" s="1"/>
  <c r="E68" i="1"/>
  <c r="E69" i="1" s="1"/>
  <c r="F68" i="1"/>
  <c r="F69" i="1" s="1"/>
  <c r="G68" i="1"/>
  <c r="G69" i="1" s="1"/>
  <c r="H68" i="1"/>
  <c r="H69" i="1" s="1"/>
  <c r="I68" i="1"/>
  <c r="I69" i="1" s="1"/>
  <c r="J68" i="1"/>
  <c r="J69" i="1" s="1"/>
  <c r="K68" i="1"/>
  <c r="K69" i="1" s="1"/>
  <c r="L68" i="1"/>
  <c r="L69" i="1" s="1"/>
  <c r="M68" i="1"/>
  <c r="M69" i="1" s="1"/>
  <c r="N68" i="1"/>
  <c r="N69" i="1" s="1"/>
  <c r="O68" i="1"/>
  <c r="O69" i="1" s="1"/>
  <c r="P68" i="1"/>
  <c r="P69" i="1" s="1"/>
  <c r="Q68" i="1"/>
  <c r="Q69" i="1" s="1"/>
  <c r="R68" i="1"/>
  <c r="R69" i="1" s="1"/>
  <c r="S68" i="1"/>
  <c r="S69" i="1" s="1"/>
  <c r="T68" i="1"/>
  <c r="T69" i="1" s="1"/>
  <c r="U68" i="1"/>
  <c r="U69" i="1" s="1"/>
  <c r="V68" i="1"/>
  <c r="V69" i="1" s="1"/>
  <c r="W68" i="1"/>
  <c r="W69" i="1" s="1"/>
  <c r="X68" i="1"/>
  <c r="X69" i="1" s="1"/>
  <c r="Y68" i="1"/>
  <c r="Y69" i="1" s="1"/>
  <c r="Z68" i="1"/>
  <c r="Z69" i="1" s="1"/>
  <c r="AA68" i="1"/>
  <c r="AA69" i="1" s="1"/>
  <c r="B68" i="1"/>
  <c r="B69" i="1" s="1"/>
</calcChain>
</file>

<file path=xl/sharedStrings.xml><?xml version="1.0" encoding="utf-8"?>
<sst xmlns="http://schemas.openxmlformats.org/spreadsheetml/2006/main" count="74" uniqueCount="69">
  <si>
    <t>M</t>
  </si>
  <si>
    <t>F</t>
  </si>
  <si>
    <t>eeB</t>
  </si>
  <si>
    <t>eB</t>
  </si>
  <si>
    <t>yB</t>
  </si>
  <si>
    <t>yyB</t>
  </si>
  <si>
    <t>eeZ</t>
  </si>
  <si>
    <t>eZ</t>
  </si>
  <si>
    <t>yyZ</t>
  </si>
  <si>
    <t>yZ</t>
  </si>
  <si>
    <t>FF</t>
  </si>
  <si>
    <t>FM</t>
  </si>
  <si>
    <t>FZ</t>
  </si>
  <si>
    <t>MM</t>
  </si>
  <si>
    <t>MF</t>
  </si>
  <si>
    <t xml:space="preserve">MB </t>
  </si>
  <si>
    <t>FB</t>
  </si>
  <si>
    <t>FBS</t>
  </si>
  <si>
    <t>BW</t>
  </si>
  <si>
    <t>FW</t>
  </si>
  <si>
    <t>BS/D</t>
  </si>
  <si>
    <t>MZS (=B)</t>
  </si>
  <si>
    <t>MZD (=Z)</t>
  </si>
  <si>
    <t>MZ (=M)</t>
  </si>
  <si>
    <t>Self</t>
  </si>
  <si>
    <t>Other</t>
  </si>
  <si>
    <t>Notes</t>
  </si>
  <si>
    <t>Unknown</t>
  </si>
  <si>
    <t>"people of F"</t>
  </si>
  <si>
    <t>"people of MZDS"</t>
  </si>
  <si>
    <t>prompted to give specifics; after M and F says "us"</t>
  </si>
  <si>
    <t>said "those of mother"</t>
  </si>
  <si>
    <t>FZD</t>
  </si>
  <si>
    <t>"us"</t>
  </si>
  <si>
    <t>says "my mother"</t>
  </si>
  <si>
    <t>4; 6; 7</t>
  </si>
  <si>
    <t>FSD; FSW (=w); FD</t>
  </si>
  <si>
    <t>1; 3; 4</t>
  </si>
  <si>
    <t>FFB; FFW; FFWS (=F)</t>
  </si>
  <si>
    <t>9; 10</t>
  </si>
  <si>
    <t>FFW; FFWS</t>
  </si>
  <si>
    <t>4; 7</t>
  </si>
  <si>
    <t>FD</t>
  </si>
  <si>
    <t>not sure of sib order</t>
  </si>
  <si>
    <t>no response</t>
  </si>
  <si>
    <t>FBW</t>
  </si>
  <si>
    <t>FS</t>
  </si>
  <si>
    <t>named numerous siblings to begin with</t>
  </si>
  <si>
    <t>geaba B</t>
  </si>
  <si>
    <t>geaba F</t>
  </si>
  <si>
    <t>geaba FB</t>
  </si>
  <si>
    <t>ZCh</t>
  </si>
  <si>
    <t>"those of us"</t>
  </si>
  <si>
    <t>7;8</t>
  </si>
  <si>
    <t>FFW; FFB</t>
  </si>
  <si>
    <t>1;5</t>
  </si>
  <si>
    <t>N. of children who mentioned this kinship category</t>
  </si>
  <si>
    <t>Relative rank</t>
  </si>
  <si>
    <t xml:space="preserve"> – siblings refers to full siblings; father's other child are not included </t>
  </si>
  <si>
    <t> – I didn't collect good enough data to always reliably state birth order among siblings, so I think the safest thing to do with this data is just look at ranking of mother vs father</t>
  </si>
  <si>
    <t xml:space="preserve"> – for the future, people collecting this kind of data need to start off by making decent family trees for each compound, with relative ages</t>
  </si>
  <si>
    <t xml:space="preserve">– have to decide whether to do this etically or emically – am trying doing it etically but don't have categories for everyone </t>
  </si>
  <si>
    <t xml:space="preserve"> – could also look at whether FM or FF features most</t>
  </si>
  <si>
    <t xml:space="preserve"> – at 33 decided to give up on elder and younger siblings. Just putting B in eeB slot and Z in eeZ slot, then if they name another sibling, it goes in the next column for B/Z, if I run out then I just stop</t>
  </si>
  <si>
    <t xml:space="preserve">What assumptions are we making about what the order of responses means? </t>
  </si>
  <si>
    <t xml:space="preserve">That children name those people most "salient" to them? </t>
  </si>
  <si>
    <t>cf. Sutrop 2001 on "cognitive salience" in free-listing tasks</t>
  </si>
  <si>
    <t>percentage</t>
  </si>
  <si>
    <t>Child.ID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</si>
</sst>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/>
    <xf numFmtId="0" fontId="0" fillId="2" borderId="0" xfId="0" applyFont="1" applyFill="1" applyAlignment="1">
      <alignment wrapText="1"/>
    </xf>
    <xf numFmtId="10" fontId="0" fillId="2" borderId="0" xfId="0" applyNumberFormat="1" applyFont="1" applyFill="1" applyAlignment="1">
      <alignment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"/>
  <sheetViews>
    <sheetView tabSelected="1" zoomScale="120" zoomScaleNormal="120" workbookViewId="0">
      <pane ySplit="1" topLeftCell="A57" activePane="bottomLeft" state="frozen"/>
      <selection pane="bottomLeft" activeCell="C72" sqref="C72"/>
    </sheetView>
  </sheetViews>
  <sheetFormatPr baseColWidth="10" defaultColWidth="8.83203125" defaultRowHeight="15" x14ac:dyDescent="0.2"/>
  <cols>
    <col min="1" max="1" width="18.33203125" style="2" customWidth="1"/>
    <col min="28" max="28" width="17.6640625" customWidth="1"/>
  </cols>
  <sheetData>
    <row r="1" spans="1:29" x14ac:dyDescent="0.2">
      <c r="A1" s="2" t="s">
        <v>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s="1" customFormat="1" x14ac:dyDescent="0.2">
      <c r="A2" s="2">
        <v>1</v>
      </c>
      <c r="B2" s="1">
        <v>2</v>
      </c>
      <c r="F2" s="1">
        <v>6</v>
      </c>
      <c r="G2" s="1">
        <v>5</v>
      </c>
      <c r="K2" s="1">
        <v>8</v>
      </c>
      <c r="M2" s="1">
        <v>3</v>
      </c>
      <c r="Z2" s="1">
        <v>4</v>
      </c>
      <c r="AA2" s="1">
        <v>1</v>
      </c>
      <c r="AB2" s="1" t="s">
        <v>28</v>
      </c>
      <c r="AC2" s="1">
        <v>7</v>
      </c>
    </row>
    <row r="3" spans="1:29" s="1" customFormat="1" x14ac:dyDescent="0.2">
      <c r="A3" s="2">
        <v>2</v>
      </c>
      <c r="B3" s="1">
        <v>2</v>
      </c>
      <c r="M3" s="1">
        <v>3</v>
      </c>
      <c r="AA3" s="1">
        <v>1</v>
      </c>
      <c r="AB3" s="1" t="s">
        <v>28</v>
      </c>
    </row>
    <row r="4" spans="1:29" s="1" customFormat="1" x14ac:dyDescent="0.2">
      <c r="A4" s="2">
        <v>3</v>
      </c>
      <c r="C4" s="1">
        <v>2</v>
      </c>
      <c r="K4" s="1">
        <v>1</v>
      </c>
      <c r="AC4" s="1">
        <v>3</v>
      </c>
    </row>
    <row r="5" spans="1:29" s="1" customFormat="1" x14ac:dyDescent="0.2">
      <c r="A5" s="2">
        <v>4</v>
      </c>
      <c r="N5" s="1">
        <v>1</v>
      </c>
    </row>
    <row r="6" spans="1:29" s="1" customFormat="1" x14ac:dyDescent="0.2">
      <c r="A6" s="2">
        <v>5</v>
      </c>
      <c r="W6" s="1">
        <v>1</v>
      </c>
      <c r="X6" s="1">
        <v>2</v>
      </c>
      <c r="Y6" s="1">
        <v>3</v>
      </c>
      <c r="AA6" s="1">
        <v>4</v>
      </c>
      <c r="AB6" s="1" t="s">
        <v>29</v>
      </c>
    </row>
    <row r="7" spans="1:29" s="1" customFormat="1" x14ac:dyDescent="0.2">
      <c r="A7" s="2">
        <v>6</v>
      </c>
      <c r="B7" s="1">
        <v>4</v>
      </c>
      <c r="O7" s="1">
        <v>2</v>
      </c>
      <c r="P7" s="1">
        <v>1</v>
      </c>
      <c r="Q7" s="1">
        <v>3</v>
      </c>
    </row>
    <row r="8" spans="1:29" s="1" customFormat="1" x14ac:dyDescent="0.2">
      <c r="A8" s="2">
        <v>7</v>
      </c>
      <c r="B8" s="1">
        <v>2</v>
      </c>
      <c r="O8" s="1">
        <v>3</v>
      </c>
      <c r="Q8" s="1">
        <v>4</v>
      </c>
      <c r="W8" s="1">
        <v>5</v>
      </c>
      <c r="Z8" s="1">
        <v>1</v>
      </c>
    </row>
    <row r="9" spans="1:29" s="1" customFormat="1" x14ac:dyDescent="0.2">
      <c r="A9" s="2">
        <v>8</v>
      </c>
      <c r="B9" s="1">
        <v>4</v>
      </c>
      <c r="M9" s="1">
        <v>1</v>
      </c>
      <c r="N9" s="1">
        <v>2</v>
      </c>
      <c r="AA9" s="1">
        <v>3</v>
      </c>
    </row>
    <row r="10" spans="1:29" s="1" customFormat="1" x14ac:dyDescent="0.2">
      <c r="A10" s="2">
        <v>9</v>
      </c>
      <c r="Y10" s="1">
        <v>1</v>
      </c>
    </row>
    <row r="11" spans="1:29" s="1" customFormat="1" x14ac:dyDescent="0.2">
      <c r="A11" s="2">
        <v>10</v>
      </c>
      <c r="B11" s="1">
        <v>2</v>
      </c>
      <c r="C11" s="1">
        <v>1</v>
      </c>
    </row>
    <row r="12" spans="1:29" s="1" customFormat="1" x14ac:dyDescent="0.2">
      <c r="A12" s="2">
        <v>11</v>
      </c>
      <c r="B12" s="1">
        <v>1</v>
      </c>
      <c r="C12" s="1">
        <v>2</v>
      </c>
    </row>
    <row r="13" spans="1:29" s="1" customFormat="1" x14ac:dyDescent="0.2">
      <c r="A13" s="2">
        <v>12</v>
      </c>
      <c r="B13" s="1">
        <v>1</v>
      </c>
    </row>
    <row r="14" spans="1:29" s="1" customFormat="1" x14ac:dyDescent="0.2">
      <c r="A14" s="2">
        <v>13</v>
      </c>
      <c r="F14" s="1">
        <v>3</v>
      </c>
      <c r="K14" s="1">
        <v>2</v>
      </c>
      <c r="Z14" s="1">
        <v>1</v>
      </c>
    </row>
    <row r="15" spans="1:29" s="1" customFormat="1" x14ac:dyDescent="0.2">
      <c r="A15" s="2">
        <v>14</v>
      </c>
      <c r="B15" s="1">
        <v>2</v>
      </c>
      <c r="C15" s="1">
        <v>1</v>
      </c>
      <c r="K15" s="1">
        <v>3</v>
      </c>
    </row>
    <row r="16" spans="1:29" s="1" customFormat="1" x14ac:dyDescent="0.2">
      <c r="A16" s="2">
        <v>15</v>
      </c>
      <c r="B16" s="1">
        <v>1</v>
      </c>
      <c r="C16" s="1">
        <v>2</v>
      </c>
      <c r="E16" s="1">
        <v>4</v>
      </c>
      <c r="I16" s="1">
        <v>3</v>
      </c>
      <c r="K16" s="1">
        <v>5</v>
      </c>
      <c r="AB16" s="1" t="s">
        <v>30</v>
      </c>
    </row>
    <row r="17" spans="1:29" s="1" customFormat="1" x14ac:dyDescent="0.2">
      <c r="A17" s="2">
        <v>16</v>
      </c>
      <c r="E17" s="1">
        <v>1</v>
      </c>
      <c r="F17" s="1">
        <v>2</v>
      </c>
    </row>
    <row r="18" spans="1:29" s="1" customFormat="1" x14ac:dyDescent="0.2">
      <c r="A18" s="2">
        <v>17</v>
      </c>
      <c r="B18" s="1">
        <v>3</v>
      </c>
      <c r="C18" s="1">
        <v>2</v>
      </c>
      <c r="E18" s="1">
        <v>4</v>
      </c>
      <c r="K18" s="1">
        <v>5</v>
      </c>
      <c r="L18" s="1">
        <v>1</v>
      </c>
    </row>
    <row r="19" spans="1:29" s="1" customFormat="1" x14ac:dyDescent="0.2">
      <c r="A19" s="2">
        <v>18</v>
      </c>
      <c r="B19" s="1">
        <v>1</v>
      </c>
      <c r="L19" s="1">
        <v>2</v>
      </c>
      <c r="AB19" s="1" t="s">
        <v>31</v>
      </c>
    </row>
    <row r="20" spans="1:29" s="1" customFormat="1" x14ac:dyDescent="0.2">
      <c r="A20" s="2">
        <v>19</v>
      </c>
      <c r="B20" s="1">
        <v>3</v>
      </c>
      <c r="F20" s="1">
        <v>4</v>
      </c>
      <c r="G20" s="1">
        <v>5</v>
      </c>
      <c r="M20" s="1">
        <v>1</v>
      </c>
      <c r="AA20" s="1">
        <v>2</v>
      </c>
      <c r="AB20" s="1" t="s">
        <v>32</v>
      </c>
    </row>
    <row r="21" spans="1:29" s="1" customFormat="1" x14ac:dyDescent="0.2">
      <c r="A21" s="2">
        <v>20</v>
      </c>
      <c r="B21" s="1">
        <v>4</v>
      </c>
      <c r="C21" s="1">
        <v>1</v>
      </c>
      <c r="R21" s="1">
        <v>2</v>
      </c>
      <c r="AA21" s="1">
        <v>3</v>
      </c>
    </row>
    <row r="22" spans="1:29" s="1" customFormat="1" x14ac:dyDescent="0.2">
      <c r="A22" s="2">
        <v>21</v>
      </c>
      <c r="B22" s="1">
        <v>3</v>
      </c>
      <c r="E22" s="1">
        <v>5</v>
      </c>
      <c r="I22" s="1">
        <v>2</v>
      </c>
      <c r="AA22" s="1">
        <v>1</v>
      </c>
      <c r="AB22" s="1" t="s">
        <v>33</v>
      </c>
      <c r="AC22" s="1">
        <v>4</v>
      </c>
    </row>
    <row r="23" spans="1:29" s="1" customFormat="1" x14ac:dyDescent="0.2">
      <c r="A23" s="2">
        <v>22</v>
      </c>
      <c r="B23" s="1">
        <v>4</v>
      </c>
      <c r="C23" s="1">
        <v>5</v>
      </c>
      <c r="D23" s="1">
        <v>2</v>
      </c>
      <c r="E23" s="1">
        <v>3</v>
      </c>
      <c r="I23" s="1">
        <v>1</v>
      </c>
      <c r="AB23" s="1" t="s">
        <v>34</v>
      </c>
    </row>
    <row r="24" spans="1:29" s="1" customFormat="1" x14ac:dyDescent="0.2">
      <c r="A24" s="2">
        <v>23</v>
      </c>
      <c r="B24" s="1">
        <v>2</v>
      </c>
      <c r="R24" s="1">
        <v>1</v>
      </c>
      <c r="U24" s="1">
        <v>3</v>
      </c>
    </row>
    <row r="25" spans="1:29" s="1" customFormat="1" x14ac:dyDescent="0.2">
      <c r="A25" s="2">
        <v>24</v>
      </c>
      <c r="B25" s="1">
        <v>2</v>
      </c>
      <c r="C25" s="1">
        <v>1</v>
      </c>
      <c r="G25" s="1">
        <v>3</v>
      </c>
      <c r="U25" s="1">
        <v>5</v>
      </c>
      <c r="AA25" s="1" t="s">
        <v>35</v>
      </c>
      <c r="AB25" s="1" t="s">
        <v>36</v>
      </c>
    </row>
    <row r="26" spans="1:29" s="1" customFormat="1" x14ac:dyDescent="0.2">
      <c r="A26" s="2">
        <v>25</v>
      </c>
      <c r="B26" s="1">
        <v>7</v>
      </c>
      <c r="L26" s="1">
        <v>6</v>
      </c>
      <c r="M26" s="1">
        <v>5</v>
      </c>
      <c r="R26" s="1">
        <v>2</v>
      </c>
      <c r="AA26" s="1" t="s">
        <v>37</v>
      </c>
      <c r="AB26" s="1" t="s">
        <v>38</v>
      </c>
    </row>
    <row r="27" spans="1:29" s="1" customFormat="1" x14ac:dyDescent="0.2">
      <c r="A27" s="2">
        <v>26</v>
      </c>
      <c r="B27" s="1">
        <v>6</v>
      </c>
      <c r="E27" s="1">
        <v>4</v>
      </c>
      <c r="F27" s="1">
        <v>2</v>
      </c>
      <c r="G27" s="1">
        <v>1</v>
      </c>
      <c r="I27" s="1">
        <v>5</v>
      </c>
      <c r="K27" s="1">
        <v>3</v>
      </c>
      <c r="L27" s="1">
        <v>7</v>
      </c>
      <c r="M27" s="1">
        <v>8</v>
      </c>
      <c r="AA27" s="1" t="s">
        <v>39</v>
      </c>
      <c r="AB27" s="1" t="s">
        <v>40</v>
      </c>
    </row>
    <row r="28" spans="1:29" s="1" customFormat="1" x14ac:dyDescent="0.2">
      <c r="A28" s="2">
        <v>27</v>
      </c>
      <c r="B28" s="1">
        <v>3</v>
      </c>
      <c r="C28" s="1">
        <v>2</v>
      </c>
      <c r="G28" s="1">
        <v>6</v>
      </c>
      <c r="L28" s="1">
        <v>1</v>
      </c>
      <c r="M28" s="1">
        <v>5</v>
      </c>
      <c r="AA28" s="1" t="s">
        <v>41</v>
      </c>
      <c r="AB28" s="1" t="s">
        <v>40</v>
      </c>
    </row>
    <row r="29" spans="1:29" s="1" customFormat="1" x14ac:dyDescent="0.2">
      <c r="A29" s="2">
        <v>28</v>
      </c>
      <c r="B29" s="1">
        <v>3</v>
      </c>
      <c r="C29" s="1">
        <v>4</v>
      </c>
      <c r="U29" s="1">
        <v>2</v>
      </c>
      <c r="AA29" s="1">
        <v>1</v>
      </c>
      <c r="AB29" s="1" t="s">
        <v>42</v>
      </c>
    </row>
    <row r="30" spans="1:29" s="1" customFormat="1" x14ac:dyDescent="0.2">
      <c r="A30" s="2">
        <v>29</v>
      </c>
      <c r="B30" s="1">
        <v>4</v>
      </c>
      <c r="C30" s="1">
        <v>3</v>
      </c>
      <c r="E30" s="1">
        <v>1</v>
      </c>
      <c r="J30" s="1">
        <v>2</v>
      </c>
      <c r="K30" s="1">
        <v>5</v>
      </c>
    </row>
    <row r="31" spans="1:29" s="1" customFormat="1" x14ac:dyDescent="0.2">
      <c r="A31" s="2">
        <v>30</v>
      </c>
      <c r="B31" s="1">
        <v>4</v>
      </c>
      <c r="C31" s="1">
        <v>3</v>
      </c>
      <c r="H31" s="1">
        <v>5</v>
      </c>
      <c r="I31" s="1">
        <v>2</v>
      </c>
      <c r="K31" s="1">
        <v>1</v>
      </c>
      <c r="AB31" s="1" t="s">
        <v>43</v>
      </c>
    </row>
    <row r="32" spans="1:29" s="1" customFormat="1" x14ac:dyDescent="0.2">
      <c r="A32" s="2">
        <v>31</v>
      </c>
      <c r="B32" s="1">
        <v>4</v>
      </c>
      <c r="C32" s="1">
        <v>3</v>
      </c>
      <c r="F32" s="1">
        <v>6</v>
      </c>
      <c r="K32" s="1">
        <v>5</v>
      </c>
      <c r="R32" s="1">
        <v>1</v>
      </c>
    </row>
    <row r="33" spans="1:29" s="1" customFormat="1" x14ac:dyDescent="0.2">
      <c r="A33" s="2">
        <v>32</v>
      </c>
      <c r="B33" s="1">
        <v>1</v>
      </c>
      <c r="C33" s="1">
        <v>2</v>
      </c>
      <c r="D33" s="1">
        <v>3</v>
      </c>
      <c r="E33" s="1">
        <v>4</v>
      </c>
      <c r="I33" s="1">
        <v>5</v>
      </c>
    </row>
    <row r="34" spans="1:29" s="1" customFormat="1" x14ac:dyDescent="0.2">
      <c r="A34" s="2">
        <v>33</v>
      </c>
      <c r="B34" s="1">
        <v>1</v>
      </c>
      <c r="C34" s="1">
        <v>2</v>
      </c>
      <c r="D34" s="1">
        <v>4</v>
      </c>
      <c r="H34" s="1">
        <v>3</v>
      </c>
      <c r="I34" s="1">
        <v>5</v>
      </c>
      <c r="J34" s="1">
        <v>6</v>
      </c>
      <c r="M34" s="1">
        <v>7</v>
      </c>
    </row>
    <row r="35" spans="1:29" s="1" customFormat="1" x14ac:dyDescent="0.2">
      <c r="A35" s="2">
        <v>34</v>
      </c>
      <c r="AB35" s="1" t="s">
        <v>44</v>
      </c>
    </row>
    <row r="36" spans="1:29" s="1" customFormat="1" x14ac:dyDescent="0.2">
      <c r="A36" s="2">
        <v>35</v>
      </c>
      <c r="R36" s="1">
        <v>1</v>
      </c>
      <c r="AA36" s="1">
        <v>2</v>
      </c>
      <c r="AB36" s="1" t="s">
        <v>45</v>
      </c>
    </row>
    <row r="37" spans="1:29" s="1" customFormat="1" x14ac:dyDescent="0.2">
      <c r="A37" s="2">
        <v>36</v>
      </c>
      <c r="B37" s="1">
        <v>4</v>
      </c>
      <c r="C37" s="1">
        <v>5</v>
      </c>
      <c r="D37" s="1">
        <v>3</v>
      </c>
      <c r="H37" s="1">
        <v>2</v>
      </c>
      <c r="AA37" s="1">
        <v>1</v>
      </c>
      <c r="AB37" s="1" t="s">
        <v>46</v>
      </c>
    </row>
    <row r="38" spans="1:29" s="1" customFormat="1" x14ac:dyDescent="0.2">
      <c r="A38" s="2">
        <v>37</v>
      </c>
      <c r="B38" s="1">
        <v>1</v>
      </c>
      <c r="C38" s="1">
        <v>4</v>
      </c>
      <c r="H38" s="1">
        <v>2</v>
      </c>
      <c r="T38" s="1">
        <v>5</v>
      </c>
      <c r="V38" s="1">
        <v>3</v>
      </c>
    </row>
    <row r="39" spans="1:29" s="1" customFormat="1" x14ac:dyDescent="0.2">
      <c r="A39" s="2">
        <v>38</v>
      </c>
      <c r="B39" s="1">
        <v>5</v>
      </c>
      <c r="C39" s="1">
        <v>8</v>
      </c>
      <c r="D39" s="1">
        <v>1</v>
      </c>
      <c r="E39" s="1">
        <v>2</v>
      </c>
      <c r="F39" s="1">
        <v>3</v>
      </c>
      <c r="H39" s="1">
        <v>4</v>
      </c>
      <c r="I39" s="1">
        <v>6</v>
      </c>
      <c r="J39" s="1">
        <v>7</v>
      </c>
      <c r="T39" s="1">
        <v>5</v>
      </c>
      <c r="AB39" s="1" t="s">
        <v>47</v>
      </c>
    </row>
    <row r="40" spans="1:29" s="1" customFormat="1" x14ac:dyDescent="0.2">
      <c r="A40" s="2">
        <v>39</v>
      </c>
      <c r="B40" s="1">
        <v>4</v>
      </c>
      <c r="C40" s="1">
        <v>2</v>
      </c>
      <c r="AA40" s="1">
        <v>1</v>
      </c>
      <c r="AB40" s="1" t="s">
        <v>46</v>
      </c>
      <c r="AC40" s="1">
        <v>3</v>
      </c>
    </row>
    <row r="41" spans="1:29" s="1" customFormat="1" x14ac:dyDescent="0.2">
      <c r="A41" s="2">
        <v>40</v>
      </c>
      <c r="M41" s="1">
        <v>4</v>
      </c>
      <c r="Q41" s="1">
        <v>2</v>
      </c>
      <c r="U41" s="1">
        <v>1</v>
      </c>
      <c r="AC41" s="1">
        <v>3</v>
      </c>
    </row>
    <row r="42" spans="1:29" s="1" customFormat="1" x14ac:dyDescent="0.2">
      <c r="A42" s="2">
        <v>41</v>
      </c>
      <c r="B42" s="1">
        <v>2</v>
      </c>
      <c r="C42" s="1">
        <v>1</v>
      </c>
      <c r="D42" s="1">
        <v>4</v>
      </c>
      <c r="E42" s="1">
        <v>5</v>
      </c>
      <c r="U42" s="1">
        <v>3</v>
      </c>
      <c r="AC42" s="1">
        <v>6</v>
      </c>
    </row>
    <row r="43" spans="1:29" s="1" customFormat="1" x14ac:dyDescent="0.2">
      <c r="A43" s="2">
        <v>42</v>
      </c>
      <c r="B43" s="1">
        <v>5</v>
      </c>
      <c r="C43" s="1">
        <v>8</v>
      </c>
      <c r="D43" s="1">
        <v>1</v>
      </c>
      <c r="E43" s="1">
        <v>2</v>
      </c>
      <c r="F43" s="1">
        <v>3</v>
      </c>
      <c r="I43" s="1">
        <v>4</v>
      </c>
      <c r="J43" s="1">
        <v>6</v>
      </c>
      <c r="K43" s="1">
        <v>7</v>
      </c>
    </row>
    <row r="44" spans="1:29" s="1" customFormat="1" x14ac:dyDescent="0.2">
      <c r="A44" s="2">
        <v>43</v>
      </c>
      <c r="B44" s="1">
        <v>5</v>
      </c>
      <c r="C44" s="1">
        <v>6</v>
      </c>
      <c r="D44" s="1">
        <v>1</v>
      </c>
      <c r="E44" s="1">
        <v>2</v>
      </c>
      <c r="F44" s="1">
        <v>3</v>
      </c>
      <c r="M44" s="1">
        <v>4</v>
      </c>
    </row>
    <row r="45" spans="1:29" s="1" customFormat="1" x14ac:dyDescent="0.2">
      <c r="A45" s="2">
        <v>44</v>
      </c>
      <c r="B45" s="1">
        <v>4</v>
      </c>
      <c r="C45" s="1">
        <v>5</v>
      </c>
      <c r="D45" s="1">
        <v>1</v>
      </c>
      <c r="E45" s="1">
        <v>2</v>
      </c>
      <c r="F45" s="1">
        <v>3</v>
      </c>
      <c r="H45" s="1">
        <v>6</v>
      </c>
    </row>
    <row r="46" spans="1:29" s="1" customFormat="1" x14ac:dyDescent="0.2">
      <c r="A46" s="2">
        <v>45</v>
      </c>
      <c r="B46" s="1">
        <v>4</v>
      </c>
      <c r="C46" s="1">
        <v>5</v>
      </c>
      <c r="L46" s="1">
        <v>3</v>
      </c>
      <c r="N46" s="1">
        <v>2</v>
      </c>
      <c r="R46" s="1">
        <v>1</v>
      </c>
    </row>
    <row r="47" spans="1:29" s="1" customFormat="1" x14ac:dyDescent="0.2">
      <c r="A47" s="2">
        <v>46</v>
      </c>
      <c r="B47" s="1">
        <v>7</v>
      </c>
      <c r="C47" s="1">
        <v>6</v>
      </c>
      <c r="D47" s="1">
        <v>1</v>
      </c>
      <c r="E47" s="1">
        <v>3</v>
      </c>
      <c r="F47" s="1">
        <v>4</v>
      </c>
      <c r="H47" s="1">
        <v>5</v>
      </c>
      <c r="R47" s="1">
        <v>2</v>
      </c>
    </row>
    <row r="48" spans="1:29" s="1" customFormat="1" x14ac:dyDescent="0.2">
      <c r="A48" s="2">
        <v>47</v>
      </c>
      <c r="B48" s="1">
        <v>3</v>
      </c>
      <c r="C48" s="1">
        <v>4</v>
      </c>
      <c r="D48" s="1">
        <v>2</v>
      </c>
      <c r="AA48" s="1">
        <v>1</v>
      </c>
      <c r="AB48" s="1" t="s">
        <v>48</v>
      </c>
    </row>
    <row r="49" spans="1:29" s="1" customFormat="1" x14ac:dyDescent="0.2">
      <c r="A49" s="2">
        <v>48</v>
      </c>
      <c r="B49" s="1">
        <v>4</v>
      </c>
      <c r="C49" s="1">
        <v>6</v>
      </c>
      <c r="D49" s="1">
        <v>2</v>
      </c>
      <c r="E49" s="1">
        <v>3</v>
      </c>
      <c r="I49" s="1">
        <v>5</v>
      </c>
      <c r="AA49" s="1">
        <v>1</v>
      </c>
      <c r="AB49" s="1" t="s">
        <v>48</v>
      </c>
    </row>
    <row r="50" spans="1:29" s="1" customFormat="1" x14ac:dyDescent="0.2">
      <c r="A50" s="2">
        <v>49</v>
      </c>
      <c r="B50" s="1">
        <v>9</v>
      </c>
      <c r="D50" s="1">
        <v>3</v>
      </c>
      <c r="E50" s="1">
        <v>4</v>
      </c>
      <c r="F50" s="1">
        <v>5</v>
      </c>
      <c r="G50" s="1">
        <v>6</v>
      </c>
      <c r="H50" s="1">
        <v>7</v>
      </c>
      <c r="I50" s="1">
        <v>8</v>
      </c>
      <c r="R50" s="1">
        <v>2</v>
      </c>
      <c r="AA50" s="1">
        <v>1</v>
      </c>
      <c r="AB50" s="1" t="s">
        <v>49</v>
      </c>
    </row>
    <row r="51" spans="1:29" s="1" customFormat="1" x14ac:dyDescent="0.2">
      <c r="A51" s="2">
        <v>50</v>
      </c>
      <c r="B51" s="1">
        <v>4</v>
      </c>
      <c r="D51" s="1">
        <v>3</v>
      </c>
      <c r="R51" s="1">
        <v>2</v>
      </c>
      <c r="AA51" s="1">
        <v>1</v>
      </c>
      <c r="AB51" s="1" t="s">
        <v>50</v>
      </c>
    </row>
    <row r="52" spans="1:29" s="1" customFormat="1" x14ac:dyDescent="0.2">
      <c r="A52" s="2">
        <v>51</v>
      </c>
      <c r="B52" s="1">
        <v>6</v>
      </c>
      <c r="D52" s="1">
        <v>3</v>
      </c>
      <c r="E52" s="1">
        <v>4</v>
      </c>
      <c r="H52" s="1">
        <v>1</v>
      </c>
      <c r="I52" s="1">
        <v>2</v>
      </c>
      <c r="AA52" s="1">
        <v>5</v>
      </c>
      <c r="AB52" s="1" t="s">
        <v>51</v>
      </c>
    </row>
    <row r="53" spans="1:29" s="1" customFormat="1" x14ac:dyDescent="0.2">
      <c r="A53" s="2">
        <v>52</v>
      </c>
      <c r="B53" s="1">
        <v>3</v>
      </c>
      <c r="D53" s="1">
        <v>2</v>
      </c>
      <c r="H53" s="1">
        <v>1</v>
      </c>
    </row>
    <row r="54" spans="1:29" s="1" customFormat="1" x14ac:dyDescent="0.2">
      <c r="A54" s="2">
        <v>53</v>
      </c>
      <c r="B54" s="1">
        <v>1</v>
      </c>
      <c r="C54" s="1">
        <v>3</v>
      </c>
      <c r="D54" s="1">
        <v>6</v>
      </c>
      <c r="H54" s="1">
        <v>4</v>
      </c>
      <c r="I54" s="1">
        <v>5</v>
      </c>
      <c r="M54" s="1">
        <v>2</v>
      </c>
    </row>
    <row r="55" spans="1:29" s="1" customFormat="1" x14ac:dyDescent="0.2">
      <c r="A55" s="2">
        <v>54</v>
      </c>
      <c r="B55" s="1">
        <v>2</v>
      </c>
      <c r="C55" s="1">
        <v>1</v>
      </c>
      <c r="D55" s="1">
        <v>4</v>
      </c>
      <c r="H55" s="1">
        <v>3</v>
      </c>
      <c r="I55" s="1">
        <v>5</v>
      </c>
      <c r="J55" s="1">
        <v>6</v>
      </c>
      <c r="AA55" s="1">
        <v>1</v>
      </c>
      <c r="AB55" s="1" t="s">
        <v>52</v>
      </c>
    </row>
    <row r="56" spans="1:29" s="1" customFormat="1" x14ac:dyDescent="0.2">
      <c r="A56" s="2">
        <v>55</v>
      </c>
      <c r="B56" s="1">
        <v>4</v>
      </c>
      <c r="C56" s="1">
        <v>5</v>
      </c>
      <c r="D56" s="1">
        <v>3</v>
      </c>
      <c r="H56" s="1">
        <v>1</v>
      </c>
      <c r="I56" s="1">
        <v>2</v>
      </c>
    </row>
    <row r="57" spans="1:29" s="1" customFormat="1" x14ac:dyDescent="0.2">
      <c r="A57" s="2">
        <v>56</v>
      </c>
      <c r="D57" s="1">
        <v>4</v>
      </c>
      <c r="E57" s="1">
        <v>5</v>
      </c>
      <c r="H57" s="1">
        <v>2</v>
      </c>
      <c r="I57" s="1">
        <v>3</v>
      </c>
      <c r="J57" s="1">
        <v>6</v>
      </c>
      <c r="K57" s="1">
        <v>7</v>
      </c>
      <c r="AC57" s="1">
        <v>1</v>
      </c>
    </row>
    <row r="58" spans="1:29" s="1" customFormat="1" x14ac:dyDescent="0.2">
      <c r="A58" s="2">
        <v>57</v>
      </c>
      <c r="B58" s="1">
        <v>14</v>
      </c>
      <c r="D58" s="1">
        <v>4</v>
      </c>
      <c r="E58" s="1">
        <v>9</v>
      </c>
      <c r="F58" s="1">
        <v>10</v>
      </c>
      <c r="G58" s="1">
        <v>11</v>
      </c>
      <c r="H58" s="1">
        <v>3</v>
      </c>
      <c r="I58" s="1">
        <v>12</v>
      </c>
      <c r="J58" s="1">
        <v>13</v>
      </c>
      <c r="L58" s="1">
        <v>5</v>
      </c>
      <c r="M58" s="1">
        <v>6</v>
      </c>
      <c r="R58" s="1">
        <v>1</v>
      </c>
      <c r="AA58" s="1" t="s">
        <v>53</v>
      </c>
      <c r="AB58" s="1" t="s">
        <v>54</v>
      </c>
    </row>
    <row r="59" spans="1:29" s="1" customFormat="1" x14ac:dyDescent="0.2">
      <c r="A59" s="2">
        <v>58</v>
      </c>
      <c r="B59" s="1">
        <v>6</v>
      </c>
      <c r="C59" s="1">
        <v>4</v>
      </c>
      <c r="D59" s="1">
        <v>3</v>
      </c>
      <c r="H59" s="1">
        <v>1</v>
      </c>
      <c r="I59" s="1">
        <v>2</v>
      </c>
      <c r="M59" s="1">
        <v>7</v>
      </c>
      <c r="R59" s="1">
        <v>5</v>
      </c>
    </row>
    <row r="60" spans="1:29" s="1" customFormat="1" x14ac:dyDescent="0.2">
      <c r="A60" s="2">
        <v>59</v>
      </c>
      <c r="B60" s="1">
        <v>2</v>
      </c>
      <c r="C60" s="1">
        <v>1</v>
      </c>
    </row>
    <row r="61" spans="1:29" s="1" customFormat="1" x14ac:dyDescent="0.2">
      <c r="A61" s="2">
        <v>60</v>
      </c>
      <c r="B61" s="1">
        <v>1</v>
      </c>
      <c r="C61" s="1">
        <v>3</v>
      </c>
      <c r="D61" s="1">
        <v>5</v>
      </c>
      <c r="H61" s="1">
        <v>4</v>
      </c>
      <c r="I61" s="1">
        <v>6</v>
      </c>
      <c r="J61" s="1">
        <v>7</v>
      </c>
      <c r="M61" s="1">
        <v>2</v>
      </c>
    </row>
    <row r="62" spans="1:29" s="1" customFormat="1" x14ac:dyDescent="0.2">
      <c r="A62" s="2">
        <v>61</v>
      </c>
      <c r="B62" s="1">
        <v>1</v>
      </c>
      <c r="C62" s="1">
        <v>3</v>
      </c>
      <c r="D62" s="1">
        <v>6</v>
      </c>
      <c r="H62" s="1">
        <v>4</v>
      </c>
      <c r="I62" s="1">
        <v>5</v>
      </c>
      <c r="J62" s="1">
        <v>7</v>
      </c>
      <c r="K62" s="1">
        <v>8</v>
      </c>
      <c r="M62" s="1">
        <v>2</v>
      </c>
    </row>
    <row r="63" spans="1:29" s="1" customFormat="1" x14ac:dyDescent="0.2">
      <c r="A63" s="2">
        <v>62</v>
      </c>
      <c r="B63" s="1">
        <v>5</v>
      </c>
      <c r="C63" s="1">
        <v>6</v>
      </c>
      <c r="H63" s="1">
        <v>1</v>
      </c>
      <c r="I63" s="1">
        <v>2</v>
      </c>
      <c r="J63" s="1">
        <v>3</v>
      </c>
      <c r="K63" s="1">
        <v>4</v>
      </c>
      <c r="M63" s="1">
        <v>7</v>
      </c>
    </row>
    <row r="64" spans="1:29" s="1" customFormat="1" x14ac:dyDescent="0.2">
      <c r="A64" s="2">
        <v>63</v>
      </c>
      <c r="B64" s="1">
        <v>2</v>
      </c>
      <c r="AA64" s="1">
        <v>1</v>
      </c>
      <c r="AB64" s="1" t="s">
        <v>33</v>
      </c>
    </row>
    <row r="65" spans="1:29" x14ac:dyDescent="0.2">
      <c r="A65" s="2">
        <v>64</v>
      </c>
      <c r="B65">
        <v>6</v>
      </c>
      <c r="D65">
        <v>1</v>
      </c>
      <c r="E65">
        <v>2</v>
      </c>
      <c r="H65">
        <v>3</v>
      </c>
      <c r="M65">
        <v>5</v>
      </c>
      <c r="AC65">
        <v>4</v>
      </c>
    </row>
    <row r="66" spans="1:29" x14ac:dyDescent="0.2">
      <c r="A66" s="2">
        <v>65</v>
      </c>
      <c r="B66">
        <v>3</v>
      </c>
      <c r="C66">
        <v>6</v>
      </c>
      <c r="D66">
        <v>2</v>
      </c>
      <c r="H66">
        <v>4</v>
      </c>
      <c r="AC66" t="s">
        <v>55</v>
      </c>
    </row>
    <row r="68" spans="1:29" ht="48" x14ac:dyDescent="0.2">
      <c r="A68" s="3" t="s">
        <v>56</v>
      </c>
      <c r="B68">
        <f>COUNTIF(B2:B66,"&lt;&gt;"&amp;"")</f>
        <v>55</v>
      </c>
      <c r="C68">
        <f t="shared" ref="C68:AA68" si="0">COUNTIF(C2:C66,"&lt;&gt;"&amp;"")</f>
        <v>37</v>
      </c>
      <c r="D68">
        <f t="shared" si="0"/>
        <v>26</v>
      </c>
      <c r="E68">
        <f t="shared" si="0"/>
        <v>20</v>
      </c>
      <c r="F68">
        <f t="shared" si="0"/>
        <v>13</v>
      </c>
      <c r="G68">
        <f t="shared" si="0"/>
        <v>7</v>
      </c>
      <c r="H68">
        <f t="shared" si="0"/>
        <v>21</v>
      </c>
      <c r="I68">
        <f t="shared" si="0"/>
        <v>21</v>
      </c>
      <c r="J68">
        <f t="shared" si="0"/>
        <v>10</v>
      </c>
      <c r="K68">
        <f t="shared" si="0"/>
        <v>14</v>
      </c>
      <c r="L68">
        <f t="shared" si="0"/>
        <v>7</v>
      </c>
      <c r="M68">
        <f t="shared" si="0"/>
        <v>17</v>
      </c>
      <c r="N68">
        <f t="shared" si="0"/>
        <v>3</v>
      </c>
      <c r="O68">
        <f t="shared" si="0"/>
        <v>2</v>
      </c>
      <c r="P68">
        <f t="shared" si="0"/>
        <v>1</v>
      </c>
      <c r="Q68">
        <f t="shared" si="0"/>
        <v>3</v>
      </c>
      <c r="R68">
        <f t="shared" si="0"/>
        <v>11</v>
      </c>
      <c r="S68">
        <f t="shared" si="0"/>
        <v>0</v>
      </c>
      <c r="T68">
        <f t="shared" si="0"/>
        <v>2</v>
      </c>
      <c r="U68">
        <f t="shared" si="0"/>
        <v>5</v>
      </c>
      <c r="V68">
        <f t="shared" si="0"/>
        <v>1</v>
      </c>
      <c r="W68">
        <f t="shared" si="0"/>
        <v>2</v>
      </c>
      <c r="X68">
        <f t="shared" si="0"/>
        <v>1</v>
      </c>
      <c r="Y68">
        <f t="shared" si="0"/>
        <v>2</v>
      </c>
      <c r="Z68">
        <f t="shared" si="0"/>
        <v>3</v>
      </c>
      <c r="AA68">
        <f t="shared" si="0"/>
        <v>23</v>
      </c>
    </row>
    <row r="69" spans="1:29" s="5" customFormat="1" ht="16" x14ac:dyDescent="0.2">
      <c r="A69" s="4" t="s">
        <v>67</v>
      </c>
      <c r="B69" s="5">
        <f>B68/65</f>
        <v>0.84615384615384615</v>
      </c>
      <c r="C69" s="5">
        <f>C68/65</f>
        <v>0.56923076923076921</v>
      </c>
      <c r="D69" s="5">
        <f t="shared" ref="D69:AA69" si="1">D68/65</f>
        <v>0.4</v>
      </c>
      <c r="E69" s="5">
        <f t="shared" si="1"/>
        <v>0.30769230769230771</v>
      </c>
      <c r="F69" s="5">
        <f t="shared" si="1"/>
        <v>0.2</v>
      </c>
      <c r="G69" s="5">
        <f t="shared" si="1"/>
        <v>0.1076923076923077</v>
      </c>
      <c r="H69" s="5">
        <f t="shared" si="1"/>
        <v>0.32307692307692309</v>
      </c>
      <c r="I69" s="5">
        <f t="shared" si="1"/>
        <v>0.32307692307692309</v>
      </c>
      <c r="J69" s="5">
        <f t="shared" si="1"/>
        <v>0.15384615384615385</v>
      </c>
      <c r="K69" s="5">
        <f t="shared" si="1"/>
        <v>0.2153846153846154</v>
      </c>
      <c r="L69" s="5">
        <f t="shared" si="1"/>
        <v>0.1076923076923077</v>
      </c>
      <c r="M69" s="5">
        <f t="shared" si="1"/>
        <v>0.26153846153846155</v>
      </c>
      <c r="N69" s="5">
        <f t="shared" si="1"/>
        <v>4.6153846153846156E-2</v>
      </c>
      <c r="O69" s="5">
        <f t="shared" si="1"/>
        <v>3.0769230769230771E-2</v>
      </c>
      <c r="P69" s="5">
        <f t="shared" si="1"/>
        <v>1.5384615384615385E-2</v>
      </c>
      <c r="Q69" s="5">
        <f t="shared" si="1"/>
        <v>4.6153846153846156E-2</v>
      </c>
      <c r="R69" s="5">
        <f t="shared" si="1"/>
        <v>0.16923076923076924</v>
      </c>
      <c r="S69" s="5">
        <f t="shared" si="1"/>
        <v>0</v>
      </c>
      <c r="T69" s="5">
        <f t="shared" si="1"/>
        <v>3.0769230769230771E-2</v>
      </c>
      <c r="U69" s="5">
        <f t="shared" si="1"/>
        <v>7.6923076923076927E-2</v>
      </c>
      <c r="V69" s="5">
        <f t="shared" si="1"/>
        <v>1.5384615384615385E-2</v>
      </c>
      <c r="W69" s="5">
        <f t="shared" si="1"/>
        <v>3.0769230769230771E-2</v>
      </c>
      <c r="X69" s="5">
        <f t="shared" si="1"/>
        <v>1.5384615384615385E-2</v>
      </c>
      <c r="Y69" s="5">
        <f t="shared" si="1"/>
        <v>3.0769230769230771E-2</v>
      </c>
      <c r="Z69" s="5">
        <f t="shared" si="1"/>
        <v>4.6153846153846156E-2</v>
      </c>
      <c r="AA69" s="5">
        <f t="shared" si="1"/>
        <v>0.35384615384615387</v>
      </c>
    </row>
    <row r="70" spans="1:29" x14ac:dyDescent="0.2">
      <c r="A70" s="2" t="s">
        <v>57</v>
      </c>
    </row>
    <row r="71" spans="1:29" x14ac:dyDescent="0.2">
      <c r="E71" s="5"/>
    </row>
    <row r="72" spans="1:29" x14ac:dyDescent="0.2">
      <c r="A72" s="2">
        <v>1</v>
      </c>
      <c r="B72">
        <f>COUNTIF($B2:$B66,"1")</f>
        <v>10</v>
      </c>
      <c r="C72">
        <f>COUNTIF(C2:C66,"1")</f>
        <v>7</v>
      </c>
    </row>
    <row r="73" spans="1:29" x14ac:dyDescent="0.2">
      <c r="A73" s="2">
        <v>2</v>
      </c>
      <c r="B73">
        <f>COUNTIF(B2:B66,"2")</f>
        <v>11</v>
      </c>
      <c r="C73">
        <f>COUNTIF(C2:C66,"2")</f>
        <v>8</v>
      </c>
    </row>
    <row r="74" spans="1:29" x14ac:dyDescent="0.2">
      <c r="A74" s="2">
        <v>3</v>
      </c>
      <c r="B74">
        <f>COUNTIF(B2:$B66,"3")</f>
        <v>8</v>
      </c>
      <c r="C74">
        <f>COUNTIF(C2:C66,"3")</f>
        <v>6</v>
      </c>
    </row>
    <row r="75" spans="1:29" x14ac:dyDescent="0.2">
      <c r="A75" s="2">
        <v>4</v>
      </c>
      <c r="B75">
        <f>COUNTIF(B2:B66,"4")</f>
        <v>14</v>
      </c>
      <c r="C75">
        <f>COUNTIF(C2:C66,"3")</f>
        <v>6</v>
      </c>
    </row>
    <row r="76" spans="1:29" x14ac:dyDescent="0.2">
      <c r="A76" s="2">
        <v>5</v>
      </c>
      <c r="B76">
        <f>COUNTIF(B2:B66,"5")</f>
        <v>4</v>
      </c>
      <c r="C76">
        <f>COUNTIF(C2:C66,"5")</f>
        <v>5</v>
      </c>
    </row>
    <row r="77" spans="1:29" x14ac:dyDescent="0.2">
      <c r="B77">
        <f>SUM(B72:B76)</f>
        <v>47</v>
      </c>
      <c r="C77">
        <f>SUM(C72:C76)</f>
        <v>32</v>
      </c>
    </row>
    <row r="78" spans="1:29" x14ac:dyDescent="0.2">
      <c r="B78">
        <f>47/55</f>
        <v>0.8545454545454545</v>
      </c>
      <c r="C78">
        <f>32/37</f>
        <v>0.86486486486486491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5ED5-FA2E-4DEC-B038-470D0BD59F82}">
  <dimension ref="A1:A11"/>
  <sheetViews>
    <sheetView workbookViewId="0">
      <selection activeCell="A12" sqref="A12"/>
    </sheetView>
  </sheetViews>
  <sheetFormatPr baseColWidth="10" defaultColWidth="8.83203125" defaultRowHeight="15" x14ac:dyDescent="0.2"/>
  <sheetData>
    <row r="1" spans="1:1" x14ac:dyDescent="0.2">
      <c r="A1" t="s">
        <v>58</v>
      </c>
    </row>
    <row r="2" spans="1:1" x14ac:dyDescent="0.2">
      <c r="A2" t="s">
        <v>59</v>
      </c>
    </row>
    <row r="3" spans="1:1" x14ac:dyDescent="0.2">
      <c r="A3" t="s">
        <v>60</v>
      </c>
    </row>
    <row r="4" spans="1:1" x14ac:dyDescent="0.2">
      <c r="A4" t="s">
        <v>61</v>
      </c>
    </row>
    <row r="5" spans="1:1" x14ac:dyDescent="0.2">
      <c r="A5" t="s">
        <v>62</v>
      </c>
    </row>
    <row r="6" spans="1:1" x14ac:dyDescent="0.2">
      <c r="A6" t="s">
        <v>63</v>
      </c>
    </row>
    <row r="9" spans="1:1" x14ac:dyDescent="0.2">
      <c r="A9" t="s">
        <v>64</v>
      </c>
    </row>
    <row r="10" spans="1:1" x14ac:dyDescent="0.2">
      <c r="A10" t="s">
        <v>65</v>
      </c>
    </row>
    <row r="11" spans="1:1" x14ac:dyDescent="0.2">
      <c r="A1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list_rankings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Passmore</cp:lastModifiedBy>
  <cp:revision/>
  <dcterms:created xsi:type="dcterms:W3CDTF">2019-07-12T14:07:02Z</dcterms:created>
  <dcterms:modified xsi:type="dcterms:W3CDTF">2020-11-02T11:22:49Z</dcterms:modified>
  <cp:category/>
  <cp:contentStatus/>
</cp:coreProperties>
</file>